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颱風研究\"/>
    </mc:Choice>
  </mc:AlternateContent>
  <xr:revisionPtr revIDLastSave="0" documentId="13_ncr:1_{FD20F26B-2A55-4CB0-924A-6CA6C95204E2}" xr6:coauthVersionLast="47" xr6:coauthVersionMax="47" xr10:uidLastSave="{00000000-0000-0000-0000-000000000000}"/>
  <bookViews>
    <workbookView xWindow="-108" yWindow="-108" windowWidth="23256" windowHeight="12456" activeTab="8" xr2:uid="{EAAE8561-4A97-4D6B-8BD4-50FB242C8D26}"/>
  </bookViews>
  <sheets>
    <sheet name="路徑一" sheetId="1" r:id="rId1"/>
    <sheet name="路徑二" sheetId="2" r:id="rId2"/>
    <sheet name="路徑三" sheetId="3" r:id="rId3"/>
    <sheet name="路徑四" sheetId="4" r:id="rId4"/>
    <sheet name="路徑五" sheetId="5" r:id="rId5"/>
    <sheet name="路徑六" sheetId="6" r:id="rId6"/>
    <sheet name="路徑七" sheetId="7" r:id="rId7"/>
    <sheet name="路徑九" sheetId="8" r:id="rId8"/>
    <sheet name="放假機率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3" l="1"/>
  <c r="J24" i="1" a="1"/>
  <c r="J24" i="1" s="1"/>
  <c r="I26" i="8"/>
  <c r="H25" i="8"/>
  <c r="H26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" i="8"/>
  <c r="G26" i="7"/>
  <c r="F25" i="7"/>
  <c r="G25" i="7" s="1"/>
  <c r="F26" i="7"/>
  <c r="F3" i="7"/>
  <c r="F4" i="7"/>
  <c r="F5" i="7"/>
  <c r="F6" i="7"/>
  <c r="G6" i="7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F15" i="7"/>
  <c r="F16" i="7"/>
  <c r="F17" i="7"/>
  <c r="F18" i="7"/>
  <c r="G18" i="7" s="1"/>
  <c r="F19" i="7"/>
  <c r="F20" i="7"/>
  <c r="G20" i="7" s="1"/>
  <c r="F21" i="7"/>
  <c r="G21" i="7" s="1"/>
  <c r="F22" i="7"/>
  <c r="G22" i="7" s="1"/>
  <c r="F23" i="7"/>
  <c r="G23" i="7" s="1"/>
  <c r="F24" i="7"/>
  <c r="G24" i="7" s="1"/>
  <c r="G3" i="7"/>
  <c r="G4" i="7"/>
  <c r="G5" i="7"/>
  <c r="G14" i="7"/>
  <c r="G15" i="7"/>
  <c r="G16" i="7"/>
  <c r="G17" i="7"/>
  <c r="G19" i="7"/>
  <c r="G2" i="7"/>
  <c r="J26" i="6"/>
  <c r="I25" i="6"/>
  <c r="J25" i="6" s="1"/>
  <c r="I26" i="6"/>
  <c r="I3" i="6"/>
  <c r="I4" i="6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I16" i="6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J3" i="6"/>
  <c r="J4" i="6"/>
  <c r="J15" i="6"/>
  <c r="J16" i="6"/>
  <c r="J2" i="6"/>
  <c r="E26" i="5"/>
  <c r="D25" i="5"/>
  <c r="D2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" i="5"/>
  <c r="J25" i="4"/>
  <c r="K17" i="4"/>
  <c r="K19" i="4"/>
  <c r="K20" i="4"/>
  <c r="K25" i="4"/>
  <c r="O26" i="3"/>
  <c r="N25" i="3"/>
  <c r="O25" i="3" s="1"/>
  <c r="N26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M24" i="2"/>
  <c r="M26" i="2"/>
  <c r="L25" i="2"/>
  <c r="L26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5" i="2"/>
  <c r="M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5" i="1"/>
  <c r="J2" i="1"/>
  <c r="J26" i="1"/>
  <c r="I25" i="1"/>
  <c r="I26" i="1"/>
  <c r="I24" i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" i="8"/>
  <c r="F2" i="7"/>
  <c r="I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" i="5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J18" i="4"/>
  <c r="K18" i="4" s="1"/>
  <c r="J19" i="4"/>
  <c r="J20" i="4"/>
  <c r="J21" i="4"/>
  <c r="K21" i="4" s="1"/>
  <c r="J22" i="4"/>
  <c r="K22" i="4" s="1"/>
  <c r="J23" i="4"/>
  <c r="K23" i="4" s="1"/>
  <c r="J2" i="4"/>
  <c r="K2" i="4" s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D26" i="6" l="1"/>
  <c r="B26" i="2"/>
  <c r="G26" i="8"/>
  <c r="C26" i="8"/>
  <c r="D26" i="8"/>
  <c r="E26" i="8"/>
  <c r="F26" i="8"/>
  <c r="B26" i="8"/>
  <c r="C24" i="8"/>
  <c r="D24" i="8"/>
  <c r="E24" i="8"/>
  <c r="F24" i="8"/>
  <c r="G24" i="8"/>
  <c r="B24" i="8"/>
  <c r="C26" i="7"/>
  <c r="D26" i="7"/>
  <c r="E26" i="7"/>
  <c r="B26" i="7"/>
  <c r="B24" i="7"/>
  <c r="C24" i="7"/>
  <c r="D24" i="7"/>
  <c r="E24" i="7"/>
  <c r="C26" i="6"/>
  <c r="E26" i="6"/>
  <c r="F26" i="6"/>
  <c r="G26" i="6"/>
  <c r="H26" i="6"/>
  <c r="B26" i="6"/>
  <c r="C24" i="6"/>
  <c r="D24" i="6"/>
  <c r="E24" i="6"/>
  <c r="F24" i="6"/>
  <c r="G24" i="6"/>
  <c r="H24" i="6"/>
  <c r="B24" i="6"/>
  <c r="C26" i="5"/>
  <c r="B26" i="5"/>
  <c r="C24" i="5"/>
  <c r="B24" i="5"/>
  <c r="D26" i="4"/>
  <c r="F26" i="4"/>
  <c r="C24" i="4"/>
  <c r="C26" i="4" s="1"/>
  <c r="D24" i="4"/>
  <c r="E24" i="4"/>
  <c r="E26" i="4" s="1"/>
  <c r="F24" i="4"/>
  <c r="G24" i="4"/>
  <c r="G26" i="4" s="1"/>
  <c r="H24" i="4"/>
  <c r="H26" i="4" s="1"/>
  <c r="I24" i="4"/>
  <c r="I26" i="4" s="1"/>
  <c r="B24" i="4"/>
  <c r="C26" i="3"/>
  <c r="D26" i="3"/>
  <c r="E26" i="3"/>
  <c r="F26" i="3"/>
  <c r="G26" i="3"/>
  <c r="H26" i="3"/>
  <c r="I26" i="3"/>
  <c r="J26" i="3"/>
  <c r="K26" i="3"/>
  <c r="L26" i="3"/>
  <c r="M26" i="3"/>
  <c r="B26" i="3"/>
  <c r="C26" i="2"/>
  <c r="D26" i="2"/>
  <c r="E26" i="2"/>
  <c r="F26" i="2"/>
  <c r="G26" i="2"/>
  <c r="H26" i="2"/>
  <c r="I26" i="2"/>
  <c r="J26" i="2"/>
  <c r="K26" i="2"/>
  <c r="H26" i="1"/>
  <c r="D26" i="1"/>
  <c r="E26" i="1"/>
  <c r="F26" i="1"/>
  <c r="G26" i="1"/>
  <c r="C26" i="1"/>
  <c r="B26" i="1"/>
  <c r="K24" i="3"/>
  <c r="L24" i="3"/>
  <c r="G24" i="3"/>
  <c r="C24" i="3"/>
  <c r="D24" i="3"/>
  <c r="E24" i="3"/>
  <c r="F24" i="3"/>
  <c r="H24" i="3"/>
  <c r="I24" i="3"/>
  <c r="J24" i="3"/>
  <c r="M24" i="3"/>
  <c r="B24" i="3"/>
  <c r="C24" i="2"/>
  <c r="D24" i="2"/>
  <c r="E24" i="2"/>
  <c r="F24" i="2"/>
  <c r="G24" i="2"/>
  <c r="H24" i="2"/>
  <c r="I24" i="2"/>
  <c r="J24" i="2"/>
  <c r="K24" i="2"/>
  <c r="B24" i="2"/>
  <c r="C24" i="1"/>
  <c r="D24" i="1"/>
  <c r="E24" i="1"/>
  <c r="F24" i="1"/>
  <c r="G24" i="1"/>
  <c r="H24" i="1"/>
  <c r="B24" i="1"/>
  <c r="J24" i="4" l="1"/>
  <c r="K24" i="4" s="1"/>
  <c r="B26" i="4"/>
  <c r="J26" i="4" s="1"/>
  <c r="K2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<sst xmlns="http://schemas.openxmlformats.org/spreadsheetml/2006/main" count="343" uniqueCount="138">
  <si>
    <t>縣市</t>
    <phoneticPr fontId="3" type="noConversion"/>
  </si>
  <si>
    <t>基隆市</t>
  </si>
  <si>
    <t>臺北市</t>
  </si>
  <si>
    <t>新北市</t>
  </si>
  <si>
    <t>桃園市</t>
  </si>
  <si>
    <t>新竹市</t>
  </si>
  <si>
    <t>新竹縣</t>
  </si>
  <si>
    <t>苗栗縣</t>
  </si>
  <si>
    <t>臺中市</t>
  </si>
  <si>
    <t>彰化縣</t>
  </si>
  <si>
    <t>雲林縣</t>
  </si>
  <si>
    <t>南投縣</t>
  </si>
  <si>
    <t>嘉義市</t>
  </si>
  <si>
    <t>嘉義縣</t>
  </si>
  <si>
    <t>臺南市</t>
  </si>
  <si>
    <t>高雄市</t>
  </si>
  <si>
    <t>屏東縣</t>
  </si>
  <si>
    <t>宜蘭縣</t>
  </si>
  <si>
    <t>花蓮縣</t>
  </si>
  <si>
    <t>臺東縣</t>
  </si>
  <si>
    <t>澎湖縣</t>
  </si>
  <si>
    <t>連江縣</t>
  </si>
  <si>
    <t>金門縣</t>
  </si>
  <si>
    <t>艾利</t>
    <phoneticPr fontId="2" type="noConversion"/>
  </si>
  <si>
    <t>馬莎</t>
    <phoneticPr fontId="3" type="noConversion"/>
  </si>
  <si>
    <t>韋帕</t>
    <phoneticPr fontId="3" type="noConversion"/>
  </si>
  <si>
    <t>潭美</t>
    <phoneticPr fontId="3" type="noConversion"/>
  </si>
  <si>
    <t>菲特</t>
    <phoneticPr fontId="3" type="noConversion"/>
  </si>
  <si>
    <t>瑪麗亞</t>
    <phoneticPr fontId="3" type="noConversion"/>
  </si>
  <si>
    <t>利奇馬</t>
    <phoneticPr fontId="3" type="noConversion"/>
  </si>
  <si>
    <t>總數</t>
    <phoneticPr fontId="2" type="noConversion"/>
  </si>
  <si>
    <t>縣市</t>
  </si>
  <si>
    <t>碧利斯</t>
  </si>
  <si>
    <t>柯羅莎</t>
  </si>
  <si>
    <t>卡玫基</t>
  </si>
  <si>
    <t>辛樂克</t>
  </si>
  <si>
    <t>薔蜜</t>
  </si>
  <si>
    <t>蘇拉</t>
  </si>
  <si>
    <t>蘇力</t>
  </si>
  <si>
    <t>杜鵑</t>
  </si>
  <si>
    <t>尼莎</t>
  </si>
  <si>
    <t>凱米</t>
  </si>
  <si>
    <t>總計</t>
    <phoneticPr fontId="2" type="noConversion"/>
  </si>
  <si>
    <t>海棠</t>
  </si>
  <si>
    <t>泰利</t>
  </si>
  <si>
    <t>龍王</t>
  </si>
  <si>
    <t>梧提</t>
  </si>
  <si>
    <t>聖帕</t>
  </si>
  <si>
    <t>鳳凰</t>
  </si>
  <si>
    <t>莫拉克</t>
  </si>
  <si>
    <t>麥德姆</t>
  </si>
  <si>
    <t>蘇迪勒</t>
  </si>
  <si>
    <t>梅姬</t>
  </si>
  <si>
    <t>康芮</t>
  </si>
  <si>
    <t>寶發</t>
  </si>
  <si>
    <t>帕布</t>
  </si>
  <si>
    <t>凡那比</t>
  </si>
  <si>
    <t>南瑪都</t>
  </si>
  <si>
    <t>尼伯特</t>
  </si>
  <si>
    <t>白鹿</t>
  </si>
  <si>
    <t>海葵</t>
  </si>
  <si>
    <t>小犬</t>
  </si>
  <si>
    <t>天兔</t>
    <phoneticPr fontId="3" type="noConversion"/>
  </si>
  <si>
    <t>閃電</t>
    <phoneticPr fontId="3" type="noConversion"/>
  </si>
  <si>
    <t>敏督利</t>
    <phoneticPr fontId="3" type="noConversion"/>
  </si>
  <si>
    <t>海馬</t>
    <phoneticPr fontId="3" type="noConversion"/>
  </si>
  <si>
    <t>納坦</t>
    <phoneticPr fontId="3" type="noConversion"/>
  </si>
  <si>
    <t>康芮</t>
    <phoneticPr fontId="3" type="noConversion"/>
  </si>
  <si>
    <t>米塔</t>
    <phoneticPr fontId="3" type="noConversion"/>
  </si>
  <si>
    <t>燦樹</t>
    <phoneticPr fontId="3" type="noConversion"/>
  </si>
  <si>
    <t>軒嵐諾</t>
    <phoneticPr fontId="3" type="noConversion"/>
  </si>
  <si>
    <t>莫蘭蒂</t>
    <phoneticPr fontId="3" type="noConversion"/>
  </si>
  <si>
    <t>海棠</t>
    <phoneticPr fontId="3" type="noConversion"/>
  </si>
  <si>
    <t>杜蘇芮</t>
    <phoneticPr fontId="3" type="noConversion"/>
  </si>
  <si>
    <t>山陀兒</t>
    <phoneticPr fontId="3" type="noConversion"/>
  </si>
  <si>
    <t>南瑪都</t>
    <phoneticPr fontId="3" type="noConversion"/>
  </si>
  <si>
    <t>珍珠</t>
    <phoneticPr fontId="3" type="noConversion"/>
  </si>
  <si>
    <t>蓮花</t>
    <phoneticPr fontId="3" type="noConversion"/>
  </si>
  <si>
    <t>萊羅克</t>
    <phoneticPr fontId="3" type="noConversion"/>
  </si>
  <si>
    <t>梅姬</t>
    <phoneticPr fontId="3" type="noConversion"/>
  </si>
  <si>
    <t>泰利</t>
    <phoneticPr fontId="3" type="noConversion"/>
  </si>
  <si>
    <t>機率</t>
    <phoneticPr fontId="2" type="noConversion"/>
  </si>
  <si>
    <t>AERE</t>
    <phoneticPr fontId="2" type="noConversion"/>
  </si>
  <si>
    <t>MATSA</t>
    <phoneticPr fontId="3" type="noConversion"/>
  </si>
  <si>
    <t>WIPHA</t>
    <phoneticPr fontId="3" type="noConversion"/>
  </si>
  <si>
    <t>TRAMI</t>
    <phoneticPr fontId="3" type="noConversion"/>
  </si>
  <si>
    <t>FITOW</t>
    <phoneticPr fontId="3" type="noConversion"/>
  </si>
  <si>
    <t>MARIA</t>
    <phoneticPr fontId="3" type="noConversion"/>
  </si>
  <si>
    <t>LEKIMA</t>
    <phoneticPr fontId="3" type="noConversion"/>
  </si>
  <si>
    <t>BILIS</t>
    <phoneticPr fontId="2" type="noConversion"/>
  </si>
  <si>
    <t>KROSA</t>
    <phoneticPr fontId="2" type="noConversion"/>
  </si>
  <si>
    <t>KALMAEGI</t>
    <phoneticPr fontId="2" type="noConversion"/>
  </si>
  <si>
    <t>SINLAKU</t>
    <phoneticPr fontId="2" type="noConversion"/>
  </si>
  <si>
    <t>JANGMI</t>
    <phoneticPr fontId="2" type="noConversion"/>
  </si>
  <si>
    <t>SAOLA</t>
    <phoneticPr fontId="2" type="noConversion"/>
  </si>
  <si>
    <t>SOULIK</t>
    <phoneticPr fontId="2" type="noConversion"/>
  </si>
  <si>
    <t>DUJUAN</t>
    <phoneticPr fontId="2" type="noConversion"/>
  </si>
  <si>
    <t>NESAT</t>
    <phoneticPr fontId="2" type="noConversion"/>
  </si>
  <si>
    <t>GAEMI</t>
    <phoneticPr fontId="2" type="noConversion"/>
  </si>
  <si>
    <t>HAITANG</t>
    <phoneticPr fontId="2" type="noConversion"/>
  </si>
  <si>
    <t>TALIM</t>
    <phoneticPr fontId="2" type="noConversion"/>
  </si>
  <si>
    <t>LONGWANG</t>
    <phoneticPr fontId="2" type="noConversion"/>
  </si>
  <si>
    <t>KAEMI</t>
    <phoneticPr fontId="2" type="noConversion"/>
  </si>
  <si>
    <t>WUTIP</t>
    <phoneticPr fontId="2" type="noConversion"/>
  </si>
  <si>
    <t>SEPAT</t>
    <phoneticPr fontId="2" type="noConversion"/>
  </si>
  <si>
    <t>FUNG-WONG</t>
    <phoneticPr fontId="2" type="noConversion"/>
  </si>
  <si>
    <t>MORAKOT</t>
    <phoneticPr fontId="2" type="noConversion"/>
  </si>
  <si>
    <t>MATMO</t>
    <phoneticPr fontId="2" type="noConversion"/>
  </si>
  <si>
    <t>SOUDELOR</t>
    <phoneticPr fontId="2" type="noConversion"/>
  </si>
  <si>
    <t>MEGI</t>
    <phoneticPr fontId="2" type="noConversion"/>
  </si>
  <si>
    <t>KONG-REY</t>
    <phoneticPr fontId="2" type="noConversion"/>
  </si>
  <si>
    <t>BOPHA</t>
  </si>
  <si>
    <t>PABUK</t>
    <phoneticPr fontId="2" type="noConversion"/>
  </si>
  <si>
    <t>FANAPI</t>
    <phoneticPr fontId="2" type="noConversion"/>
  </si>
  <si>
    <t>NANMADOL</t>
    <phoneticPr fontId="2" type="noConversion"/>
  </si>
  <si>
    <t>NEPARTAK</t>
    <phoneticPr fontId="2" type="noConversion"/>
  </si>
  <si>
    <t>BAILU</t>
    <phoneticPr fontId="2" type="noConversion"/>
  </si>
  <si>
    <t>HAIKUI</t>
    <phoneticPr fontId="2" type="noConversion"/>
  </si>
  <si>
    <t>KOINU</t>
    <phoneticPr fontId="2" type="noConversion"/>
  </si>
  <si>
    <t>USAGI</t>
    <phoneticPr fontId="3" type="noConversion"/>
  </si>
  <si>
    <t>ATSANI</t>
    <phoneticPr fontId="3" type="noConversion"/>
  </si>
  <si>
    <t>MINDULLE</t>
    <phoneticPr fontId="3" type="noConversion"/>
  </si>
  <si>
    <t>HAIMA</t>
    <phoneticPr fontId="3" type="noConversion"/>
  </si>
  <si>
    <t>NOCK-TEN</t>
    <phoneticPr fontId="3" type="noConversion"/>
  </si>
  <si>
    <t>KONG-REY</t>
    <phoneticPr fontId="3" type="noConversion"/>
  </si>
  <si>
    <t>MITAG</t>
    <phoneticPr fontId="3" type="noConversion"/>
  </si>
  <si>
    <t>CHANTHU</t>
    <phoneticPr fontId="3" type="noConversion"/>
  </si>
  <si>
    <t>HINNAMNOR</t>
    <phoneticPr fontId="3" type="noConversion"/>
  </si>
  <si>
    <t>MERANTI</t>
    <phoneticPr fontId="3" type="noConversion"/>
  </si>
  <si>
    <t>HAITANG</t>
    <phoneticPr fontId="3" type="noConversion"/>
  </si>
  <si>
    <t>DOKSURI</t>
    <phoneticPr fontId="3" type="noConversion"/>
  </si>
  <si>
    <t>KRATHON</t>
    <phoneticPr fontId="3" type="noConversion"/>
  </si>
  <si>
    <t>NANMADOL</t>
    <phoneticPr fontId="3" type="noConversion"/>
  </si>
  <si>
    <t>CHANCHU</t>
    <phoneticPr fontId="3" type="noConversion"/>
  </si>
  <si>
    <t>LINFA</t>
    <phoneticPr fontId="3" type="noConversion"/>
  </si>
  <si>
    <t>LIONROCK</t>
    <phoneticPr fontId="3" type="noConversion"/>
  </si>
  <si>
    <t>MEGI</t>
    <phoneticPr fontId="3" type="noConversion"/>
  </si>
  <si>
    <t>TALIM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</si>
</sst>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);[Red]\(0.0\)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0"/>
      <color rgb="FF212529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1" xfId="0" applyBorder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dc28.cwa.gov.tw/TDB/public/typhoon_detail?typhoon_id=202314" TargetMode="External"/><Relationship Id="rId3" Type="http://schemas.openxmlformats.org/officeDocument/2006/relationships/hyperlink" Target="https://rdc28.cwa.gov.tw/TDB/public/typhoon_detail?typhoon_id=202311" TargetMode="External"/><Relationship Id="rId7" Type="http://schemas.openxmlformats.org/officeDocument/2006/relationships/hyperlink" Target="https://rdc28.cwa.gov.tw/TDB/public/typhoon_detail?typhoon_id=202311" TargetMode="External"/><Relationship Id="rId2" Type="http://schemas.openxmlformats.org/officeDocument/2006/relationships/hyperlink" Target="https://rdc28.cwa.gov.tw/TDB/public/typhoon_detail?typhoon_id=201911" TargetMode="External"/><Relationship Id="rId1" Type="http://schemas.openxmlformats.org/officeDocument/2006/relationships/hyperlink" Target="https://rdc28.cwa.gov.tw/TDB/public/typhoon_detail?typhoon_id=201601" TargetMode="External"/><Relationship Id="rId6" Type="http://schemas.openxmlformats.org/officeDocument/2006/relationships/hyperlink" Target="https://rdc28.cwa.gov.tw/TDB/public/typhoon_detail?typhoon_id=201911" TargetMode="External"/><Relationship Id="rId5" Type="http://schemas.openxmlformats.org/officeDocument/2006/relationships/hyperlink" Target="https://rdc28.cwa.gov.tw/TDB/public/typhoon_detail?typhoon_id=201601" TargetMode="External"/><Relationship Id="rId4" Type="http://schemas.openxmlformats.org/officeDocument/2006/relationships/hyperlink" Target="https://rdc28.cwa.gov.tw/TDB/public/typhoon_detail?typhoon_id=202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9DF5-8BAF-4C6E-92C4-843BDEB0DE1A}">
  <dimension ref="A1:J26"/>
  <sheetViews>
    <sheetView workbookViewId="0">
      <selection activeCell="J2" sqref="J2:J23"/>
    </sheetView>
  </sheetViews>
  <sheetFormatPr defaultRowHeight="16.2" x14ac:dyDescent="0.3"/>
  <cols>
    <col min="2" max="2" width="5.6640625" customWidth="1"/>
    <col min="3" max="3" width="5.109375" customWidth="1"/>
    <col min="4" max="4" width="5.21875" customWidth="1"/>
    <col min="5" max="6" width="5.44140625" customWidth="1"/>
    <col min="7" max="7" width="7.109375" customWidth="1"/>
    <col min="8" max="8" width="7.77734375" customWidth="1"/>
  </cols>
  <sheetData>
    <row r="1" spans="1:10" x14ac:dyDescent="0.3">
      <c r="A1" s="1" t="s">
        <v>0</v>
      </c>
      <c r="B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42</v>
      </c>
      <c r="J1" s="1" t="s">
        <v>81</v>
      </c>
    </row>
    <row r="2" spans="1:10" x14ac:dyDescent="0.3">
      <c r="A2" s="1" t="s">
        <v>1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  <c r="H2">
        <v>1</v>
      </c>
      <c r="I2">
        <f>SUM(B2:H2)</f>
        <v>5</v>
      </c>
      <c r="J2">
        <f>I2/7*100</f>
        <v>71.428571428571431</v>
      </c>
    </row>
    <row r="3" spans="1:10" x14ac:dyDescent="0.3">
      <c r="A3" s="1" t="s">
        <v>2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f t="shared" ref="I3:I26" si="0">SUM(B3:H3)</f>
        <v>5</v>
      </c>
      <c r="J3">
        <f t="shared" ref="J3:J25" si="1">I3/7*100</f>
        <v>71.428571428571431</v>
      </c>
    </row>
    <row r="4" spans="1:10" x14ac:dyDescent="0.3">
      <c r="A4" s="1" t="s">
        <v>3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f t="shared" si="0"/>
        <v>5</v>
      </c>
      <c r="J4">
        <f t="shared" si="1"/>
        <v>71.428571428571431</v>
      </c>
    </row>
    <row r="5" spans="1:10" x14ac:dyDescent="0.3">
      <c r="A5" s="1" t="s">
        <v>4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f t="shared" si="0"/>
        <v>5</v>
      </c>
      <c r="J5">
        <f t="shared" si="1"/>
        <v>71.428571428571431</v>
      </c>
    </row>
    <row r="6" spans="1:10" x14ac:dyDescent="0.3">
      <c r="A6" s="1" t="s">
        <v>5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f t="shared" si="0"/>
        <v>5</v>
      </c>
      <c r="J6">
        <f t="shared" si="1"/>
        <v>71.428571428571431</v>
      </c>
    </row>
    <row r="7" spans="1:10" x14ac:dyDescent="0.3">
      <c r="A7" s="2" t="s">
        <v>6</v>
      </c>
      <c r="B7" s="4">
        <v>1</v>
      </c>
      <c r="C7" s="4">
        <v>0</v>
      </c>
      <c r="D7" s="4">
        <v>1</v>
      </c>
      <c r="E7" s="4">
        <v>1</v>
      </c>
      <c r="F7" s="4">
        <v>0</v>
      </c>
      <c r="G7" s="4">
        <v>1</v>
      </c>
      <c r="H7" s="4">
        <v>1</v>
      </c>
      <c r="I7">
        <f t="shared" si="0"/>
        <v>5</v>
      </c>
      <c r="J7">
        <f t="shared" si="1"/>
        <v>71.428571428571431</v>
      </c>
    </row>
    <row r="8" spans="1:10" x14ac:dyDescent="0.3">
      <c r="A8" s="1" t="s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f t="shared" si="0"/>
        <v>6</v>
      </c>
      <c r="J8">
        <f t="shared" si="1"/>
        <v>85.714285714285708</v>
      </c>
    </row>
    <row r="9" spans="1:10" x14ac:dyDescent="0.3">
      <c r="A9" s="1" t="s">
        <v>8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f t="shared" si="0"/>
        <v>3</v>
      </c>
      <c r="J9">
        <f t="shared" si="1"/>
        <v>42.857142857142854</v>
      </c>
    </row>
    <row r="10" spans="1:10" x14ac:dyDescent="0.3">
      <c r="A10" s="1" t="s">
        <v>9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f t="shared" si="0"/>
        <v>2</v>
      </c>
      <c r="J10">
        <f t="shared" si="1"/>
        <v>28.571428571428569</v>
      </c>
    </row>
    <row r="11" spans="1:10" x14ac:dyDescent="0.3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  <c r="J11">
        <f t="shared" si="1"/>
        <v>0</v>
      </c>
    </row>
    <row r="12" spans="1:10" x14ac:dyDescent="0.3">
      <c r="A12" s="2" t="s">
        <v>11</v>
      </c>
      <c r="B12" s="4">
        <v>1</v>
      </c>
      <c r="C12" s="4">
        <v>1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>
        <f t="shared" si="0"/>
        <v>3</v>
      </c>
      <c r="J12">
        <f t="shared" si="1"/>
        <v>42.857142857142854</v>
      </c>
    </row>
    <row r="13" spans="1:10" x14ac:dyDescent="0.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f t="shared" si="0"/>
        <v>0</v>
      </c>
      <c r="J13">
        <f t="shared" si="1"/>
        <v>0</v>
      </c>
    </row>
    <row r="14" spans="1:10" x14ac:dyDescent="0.3">
      <c r="A14" s="1" t="s">
        <v>13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f t="shared" si="0"/>
        <v>2</v>
      </c>
      <c r="J14">
        <f t="shared" si="1"/>
        <v>28.571428571428569</v>
      </c>
    </row>
    <row r="15" spans="1:10" x14ac:dyDescent="0.3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  <c r="J15">
        <f t="shared" si="1"/>
        <v>0</v>
      </c>
    </row>
    <row r="16" spans="1:10" x14ac:dyDescent="0.3">
      <c r="A16" s="1" t="s">
        <v>15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f t="shared" si="0"/>
        <v>1</v>
      </c>
      <c r="J16">
        <f t="shared" si="1"/>
        <v>14.285714285714285</v>
      </c>
    </row>
    <row r="17" spans="1:10" x14ac:dyDescent="0.3">
      <c r="A17" s="2" t="s">
        <v>16</v>
      </c>
      <c r="B17" s="4">
        <v>0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>
        <f t="shared" si="0"/>
        <v>1</v>
      </c>
      <c r="J17">
        <f t="shared" si="1"/>
        <v>14.285714285714285</v>
      </c>
    </row>
    <row r="18" spans="1:10" x14ac:dyDescent="0.3">
      <c r="A18" s="1" t="s">
        <v>17</v>
      </c>
      <c r="B18">
        <v>1</v>
      </c>
      <c r="C18">
        <v>0</v>
      </c>
      <c r="D18">
        <v>1</v>
      </c>
      <c r="E18">
        <v>1</v>
      </c>
      <c r="F18">
        <v>0</v>
      </c>
      <c r="G18">
        <v>1</v>
      </c>
      <c r="H18">
        <v>1</v>
      </c>
      <c r="I18">
        <f t="shared" si="0"/>
        <v>5</v>
      </c>
      <c r="J18">
        <f t="shared" si="1"/>
        <v>71.428571428571431</v>
      </c>
    </row>
    <row r="19" spans="1:10" x14ac:dyDescent="0.3">
      <c r="A19" s="1" t="s">
        <v>18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f t="shared" si="0"/>
        <v>1</v>
      </c>
      <c r="J19">
        <f t="shared" si="1"/>
        <v>14.285714285714285</v>
      </c>
    </row>
    <row r="20" spans="1:10" x14ac:dyDescent="0.3">
      <c r="A20" s="2" t="s">
        <v>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>
        <f t="shared" si="0"/>
        <v>0</v>
      </c>
      <c r="J20">
        <f t="shared" si="1"/>
        <v>0</v>
      </c>
    </row>
    <row r="21" spans="1:10" x14ac:dyDescent="0.3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f t="shared" si="0"/>
        <v>0</v>
      </c>
      <c r="J21">
        <f t="shared" si="1"/>
        <v>0</v>
      </c>
    </row>
    <row r="22" spans="1:10" x14ac:dyDescent="0.3">
      <c r="A22" s="1" t="s">
        <v>21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f t="shared" si="0"/>
        <v>5</v>
      </c>
      <c r="J22">
        <f t="shared" si="1"/>
        <v>71.428571428571431</v>
      </c>
    </row>
    <row r="23" spans="1:10" ht="16.8" thickBot="1" x14ac:dyDescent="0.35">
      <c r="A23" s="3" t="s">
        <v>22</v>
      </c>
      <c r="B23" s="4">
        <v>1</v>
      </c>
      <c r="C23" s="4">
        <v>0</v>
      </c>
      <c r="D23" s="4">
        <v>0</v>
      </c>
      <c r="E23" s="4">
        <v>1</v>
      </c>
      <c r="F23" s="4">
        <v>0</v>
      </c>
      <c r="G23" s="4">
        <v>0</v>
      </c>
      <c r="H23" s="4">
        <v>0</v>
      </c>
      <c r="I23">
        <f t="shared" si="0"/>
        <v>2</v>
      </c>
      <c r="J23">
        <f t="shared" si="1"/>
        <v>28.571428571428569</v>
      </c>
    </row>
    <row r="24" spans="1:10" x14ac:dyDescent="0.3">
      <c r="A24" s="5" t="s">
        <v>30</v>
      </c>
      <c r="B24" s="6">
        <f>SUM(B2:B23)</f>
        <v>14</v>
      </c>
      <c r="C24" s="6">
        <f t="shared" ref="C24:H24" si="2">SUM(C2:C23)</f>
        <v>3</v>
      </c>
      <c r="D24" s="6">
        <f t="shared" si="2"/>
        <v>8</v>
      </c>
      <c r="E24" s="6">
        <f t="shared" si="2"/>
        <v>17</v>
      </c>
      <c r="F24" s="6">
        <f t="shared" si="2"/>
        <v>1</v>
      </c>
      <c r="G24" s="6">
        <f t="shared" si="2"/>
        <v>9</v>
      </c>
      <c r="H24" s="6">
        <f t="shared" si="2"/>
        <v>9</v>
      </c>
      <c r="I24">
        <f>SUM(B24:H24)</f>
        <v>61</v>
      </c>
      <c r="J24" t="e" cm="1">
        <f t="array" ref="J24">B1AERE=I24/7*100</f>
        <v>#NAME?</v>
      </c>
    </row>
    <row r="25" spans="1:10" x14ac:dyDescent="0.3">
      <c r="B25" t="s">
        <v>23</v>
      </c>
      <c r="C25" s="1" t="s">
        <v>24</v>
      </c>
      <c r="D25" s="1" t="s">
        <v>25</v>
      </c>
      <c r="E25" s="1" t="s">
        <v>26</v>
      </c>
      <c r="F25" s="1" t="s">
        <v>27</v>
      </c>
      <c r="G25" s="1" t="s">
        <v>28</v>
      </c>
      <c r="H25" s="1" t="s">
        <v>29</v>
      </c>
      <c r="I25">
        <f t="shared" si="0"/>
        <v>0</v>
      </c>
      <c r="J25">
        <f t="shared" si="1"/>
        <v>0</v>
      </c>
    </row>
    <row r="26" spans="1:10" x14ac:dyDescent="0.3">
      <c r="B26" s="7">
        <f>B24/22*100</f>
        <v>63.636363636363633</v>
      </c>
      <c r="C26" s="7">
        <f>C24/22*100</f>
        <v>13.636363636363635</v>
      </c>
      <c r="D26" s="7">
        <f t="shared" ref="D26:G26" si="3">D24/22*100</f>
        <v>36.363636363636367</v>
      </c>
      <c r="E26" s="7">
        <f t="shared" si="3"/>
        <v>77.272727272727266</v>
      </c>
      <c r="F26" s="7">
        <f t="shared" si="3"/>
        <v>4.5454545454545459</v>
      </c>
      <c r="G26" s="7">
        <f t="shared" si="3"/>
        <v>40.909090909090914</v>
      </c>
      <c r="H26" s="7">
        <f>H24/22*100</f>
        <v>40.909090909090914</v>
      </c>
      <c r="I26">
        <f t="shared" si="0"/>
        <v>277.27272727272725</v>
      </c>
      <c r="J26" s="7">
        <f>I26/7</f>
        <v>39.61038961038961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93A3-9590-4402-9F53-94CBA7B2EF3B}">
  <dimension ref="A1:M26"/>
  <sheetViews>
    <sheetView zoomScale="85" zoomScaleNormal="85" workbookViewId="0">
      <selection activeCell="M2" sqref="M2:M23"/>
    </sheetView>
  </sheetViews>
  <sheetFormatPr defaultRowHeight="16.2" x14ac:dyDescent="0.3"/>
  <cols>
    <col min="2" max="2" width="7.44140625" customWidth="1"/>
    <col min="3" max="3" width="7.5546875" customWidth="1"/>
    <col min="4" max="4" width="7.44140625" customWidth="1"/>
    <col min="5" max="5" width="7.77734375" customWidth="1"/>
    <col min="6" max="6" width="6.33203125" customWidth="1"/>
    <col min="7" max="7" width="6" customWidth="1"/>
    <col min="8" max="8" width="6.5546875" customWidth="1"/>
    <col min="9" max="9" width="6.44140625" customWidth="1"/>
    <col min="10" max="10" width="6.33203125" customWidth="1"/>
    <col min="11" max="11" width="6.109375" customWidth="1"/>
  </cols>
  <sheetData>
    <row r="1" spans="1:13" x14ac:dyDescent="0.3">
      <c r="A1" t="s">
        <v>31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s="1" t="s">
        <v>42</v>
      </c>
      <c r="M1" s="1" t="s">
        <v>81</v>
      </c>
    </row>
    <row r="2" spans="1:13" x14ac:dyDescent="0.3">
      <c r="A2" s="1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f>SUM(B2:K2)</f>
        <v>9</v>
      </c>
      <c r="M2">
        <f>L2/10*100</f>
        <v>90</v>
      </c>
    </row>
    <row r="3" spans="1:13" x14ac:dyDescent="0.3">
      <c r="A3" s="1" t="s">
        <v>2</v>
      </c>
      <c r="B3">
        <v>0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 t="shared" ref="L3:L26" si="0">SUM(B3:K3)</f>
        <v>8</v>
      </c>
      <c r="M3">
        <f t="shared" ref="M3:M26" si="1">L3/10*100</f>
        <v>80</v>
      </c>
    </row>
    <row r="4" spans="1:13" x14ac:dyDescent="0.3">
      <c r="A4" s="1" t="s">
        <v>3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f t="shared" si="0"/>
        <v>8</v>
      </c>
      <c r="M4">
        <f t="shared" si="1"/>
        <v>80</v>
      </c>
    </row>
    <row r="5" spans="1:13" x14ac:dyDescent="0.3">
      <c r="A5" s="1" t="s">
        <v>4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f t="shared" si="0"/>
        <v>8</v>
      </c>
      <c r="M5">
        <f t="shared" si="1"/>
        <v>80</v>
      </c>
    </row>
    <row r="6" spans="1:13" x14ac:dyDescent="0.3">
      <c r="A6" s="1" t="s">
        <v>5</v>
      </c>
      <c r="B6">
        <v>0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f t="shared" si="0"/>
        <v>8</v>
      </c>
      <c r="M6">
        <f t="shared" si="1"/>
        <v>80</v>
      </c>
    </row>
    <row r="7" spans="1:13" x14ac:dyDescent="0.3">
      <c r="A7" s="2" t="s">
        <v>6</v>
      </c>
      <c r="B7" s="4">
        <v>0</v>
      </c>
      <c r="C7" s="4">
        <v>1</v>
      </c>
      <c r="D7" s="4">
        <v>0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>
        <f t="shared" si="0"/>
        <v>8</v>
      </c>
      <c r="M7">
        <f t="shared" si="1"/>
        <v>80</v>
      </c>
    </row>
    <row r="8" spans="1:13" x14ac:dyDescent="0.3">
      <c r="A8" s="1" t="s">
        <v>7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f t="shared" si="0"/>
        <v>9</v>
      </c>
      <c r="M8">
        <f t="shared" si="1"/>
        <v>90</v>
      </c>
    </row>
    <row r="9" spans="1:13" x14ac:dyDescent="0.3">
      <c r="A9" s="1" t="s">
        <v>8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f t="shared" si="0"/>
        <v>9</v>
      </c>
      <c r="M9">
        <f t="shared" si="1"/>
        <v>90</v>
      </c>
    </row>
    <row r="10" spans="1:13" x14ac:dyDescent="0.3">
      <c r="A10" s="1" t="s">
        <v>9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f t="shared" si="0"/>
        <v>9</v>
      </c>
      <c r="M10">
        <f t="shared" si="1"/>
        <v>90</v>
      </c>
    </row>
    <row r="11" spans="1:13" x14ac:dyDescent="0.3">
      <c r="A11" s="1" t="s">
        <v>10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f t="shared" si="0"/>
        <v>9</v>
      </c>
      <c r="M11">
        <f t="shared" si="1"/>
        <v>90</v>
      </c>
    </row>
    <row r="12" spans="1:13" x14ac:dyDescent="0.3">
      <c r="A12" s="2" t="s">
        <v>11</v>
      </c>
      <c r="B12" s="4">
        <v>0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>
        <f t="shared" si="0"/>
        <v>9</v>
      </c>
      <c r="M12">
        <f t="shared" si="1"/>
        <v>90</v>
      </c>
    </row>
    <row r="13" spans="1:13" x14ac:dyDescent="0.3">
      <c r="A13" s="1" t="s">
        <v>12</v>
      </c>
      <c r="B13">
        <v>0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f t="shared" si="0"/>
        <v>8</v>
      </c>
      <c r="M13">
        <f t="shared" si="1"/>
        <v>80</v>
      </c>
    </row>
    <row r="14" spans="1:13" x14ac:dyDescent="0.3">
      <c r="A14" s="1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f t="shared" si="0"/>
        <v>10</v>
      </c>
      <c r="M14">
        <f t="shared" si="1"/>
        <v>100</v>
      </c>
    </row>
    <row r="15" spans="1:13" x14ac:dyDescent="0.3">
      <c r="A15" s="1" t="s">
        <v>14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f t="shared" si="0"/>
        <v>9</v>
      </c>
      <c r="M15">
        <f t="shared" si="1"/>
        <v>90</v>
      </c>
    </row>
    <row r="16" spans="1:13" x14ac:dyDescent="0.3">
      <c r="A16" s="1" t="s">
        <v>15</v>
      </c>
      <c r="B16">
        <v>0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f t="shared" si="0"/>
        <v>8</v>
      </c>
      <c r="M16">
        <f t="shared" si="1"/>
        <v>80</v>
      </c>
    </row>
    <row r="17" spans="1:13" x14ac:dyDescent="0.3">
      <c r="A17" s="2" t="s">
        <v>16</v>
      </c>
      <c r="B17" s="4">
        <v>0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>
        <f t="shared" si="0"/>
        <v>9</v>
      </c>
      <c r="M17">
        <f t="shared" si="1"/>
        <v>90</v>
      </c>
    </row>
    <row r="18" spans="1:13" x14ac:dyDescent="0.3">
      <c r="A18" s="1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f t="shared" si="0"/>
        <v>10</v>
      </c>
      <c r="M18">
        <f t="shared" si="1"/>
        <v>100</v>
      </c>
    </row>
    <row r="19" spans="1:13" x14ac:dyDescent="0.3">
      <c r="A19" s="1" t="s">
        <v>18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f t="shared" si="0"/>
        <v>9</v>
      </c>
      <c r="M19">
        <f t="shared" si="1"/>
        <v>90</v>
      </c>
    </row>
    <row r="20" spans="1:13" x14ac:dyDescent="0.3">
      <c r="A20" s="2" t="s">
        <v>19</v>
      </c>
      <c r="B20" s="4">
        <v>1</v>
      </c>
      <c r="C20" s="4">
        <v>1</v>
      </c>
      <c r="D20" s="4">
        <v>0</v>
      </c>
      <c r="E20" s="4">
        <v>1</v>
      </c>
      <c r="F20" s="4">
        <v>1</v>
      </c>
      <c r="G20" s="4">
        <v>1</v>
      </c>
      <c r="H20" s="4">
        <v>1</v>
      </c>
      <c r="I20" s="4">
        <v>0</v>
      </c>
      <c r="J20" s="4">
        <v>1</v>
      </c>
      <c r="K20" s="4">
        <v>1</v>
      </c>
      <c r="L20">
        <f t="shared" si="0"/>
        <v>8</v>
      </c>
      <c r="M20">
        <f t="shared" si="1"/>
        <v>80</v>
      </c>
    </row>
    <row r="21" spans="1:13" x14ac:dyDescent="0.3">
      <c r="A21" s="1" t="s">
        <v>20</v>
      </c>
      <c r="B21">
        <v>0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f t="shared" si="0"/>
        <v>7</v>
      </c>
      <c r="M21">
        <f t="shared" si="1"/>
        <v>70</v>
      </c>
    </row>
    <row r="22" spans="1:13" x14ac:dyDescent="0.3">
      <c r="A22" s="1" t="s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f t="shared" si="0"/>
        <v>6</v>
      </c>
      <c r="M22">
        <f t="shared" si="1"/>
        <v>60</v>
      </c>
    </row>
    <row r="23" spans="1:13" x14ac:dyDescent="0.3">
      <c r="A23" s="2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1</v>
      </c>
      <c r="J23" s="4">
        <v>1</v>
      </c>
      <c r="K23" s="4">
        <v>1</v>
      </c>
      <c r="L23">
        <f t="shared" si="0"/>
        <v>4</v>
      </c>
      <c r="M23">
        <f t="shared" si="1"/>
        <v>40</v>
      </c>
    </row>
    <row r="24" spans="1:13" x14ac:dyDescent="0.3">
      <c r="A24" s="1" t="s">
        <v>42</v>
      </c>
      <c r="B24">
        <f>SUM(B2:B23)</f>
        <v>4</v>
      </c>
      <c r="C24">
        <f t="shared" ref="C24:K24" si="2">SUM(C2:C23)</f>
        <v>20</v>
      </c>
      <c r="D24">
        <f t="shared" si="2"/>
        <v>11</v>
      </c>
      <c r="E24">
        <f t="shared" si="2"/>
        <v>19</v>
      </c>
      <c r="F24">
        <f t="shared" si="2"/>
        <v>21</v>
      </c>
      <c r="G24">
        <f t="shared" si="2"/>
        <v>20</v>
      </c>
      <c r="H24">
        <f t="shared" si="2"/>
        <v>22</v>
      </c>
      <c r="I24">
        <f t="shared" si="2"/>
        <v>21</v>
      </c>
      <c r="J24">
        <f t="shared" si="2"/>
        <v>22</v>
      </c>
      <c r="K24">
        <f t="shared" si="2"/>
        <v>22</v>
      </c>
      <c r="L24">
        <f t="shared" si="0"/>
        <v>182</v>
      </c>
      <c r="M24">
        <f t="shared" si="1"/>
        <v>1820</v>
      </c>
    </row>
    <row r="25" spans="1:13" x14ac:dyDescent="0.3"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>
        <f t="shared" si="0"/>
        <v>0</v>
      </c>
      <c r="M25">
        <f t="shared" si="1"/>
        <v>0</v>
      </c>
    </row>
    <row r="26" spans="1:13" x14ac:dyDescent="0.3">
      <c r="B26" s="8">
        <f>B24/22*100</f>
        <v>18.181818181818183</v>
      </c>
      <c r="C26" s="8">
        <f t="shared" ref="C26:K26" si="3">C24/22*100</f>
        <v>90.909090909090907</v>
      </c>
      <c r="D26" s="8">
        <f t="shared" si="3"/>
        <v>50</v>
      </c>
      <c r="E26" s="8">
        <f t="shared" si="3"/>
        <v>86.36363636363636</v>
      </c>
      <c r="F26" s="8">
        <f t="shared" si="3"/>
        <v>95.454545454545453</v>
      </c>
      <c r="G26" s="8">
        <f t="shared" si="3"/>
        <v>90.909090909090907</v>
      </c>
      <c r="H26" s="8">
        <f t="shared" si="3"/>
        <v>100</v>
      </c>
      <c r="I26" s="8">
        <f t="shared" si="3"/>
        <v>95.454545454545453</v>
      </c>
      <c r="J26" s="8">
        <f t="shared" si="3"/>
        <v>100</v>
      </c>
      <c r="K26" s="8">
        <f t="shared" si="3"/>
        <v>100</v>
      </c>
      <c r="L26">
        <f t="shared" si="0"/>
        <v>827.27272727272725</v>
      </c>
      <c r="M26">
        <f>L26/10</f>
        <v>82.72727272727272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DC0F-2614-4A1F-A113-43F022097BAB}">
  <dimension ref="A1:O26"/>
  <sheetViews>
    <sheetView zoomScale="85" zoomScaleNormal="85" workbookViewId="0">
      <selection activeCell="O2" sqref="O2"/>
    </sheetView>
  </sheetViews>
  <sheetFormatPr defaultRowHeight="16.2" x14ac:dyDescent="0.3"/>
  <cols>
    <col min="2" max="2" width="6" customWidth="1"/>
    <col min="3" max="3" width="6.44140625" customWidth="1"/>
    <col min="4" max="4" width="4.77734375" customWidth="1"/>
    <col min="5" max="5" width="5.109375" customWidth="1"/>
    <col min="6" max="6" width="5.33203125" customWidth="1"/>
    <col min="7" max="7" width="6.77734375" customWidth="1"/>
    <col min="8" max="8" width="5.77734375" customWidth="1"/>
    <col min="9" max="9" width="7.21875" customWidth="1"/>
    <col min="10" max="11" width="7.33203125" customWidth="1"/>
    <col min="12" max="12" width="6.5546875" customWidth="1"/>
    <col min="13" max="13" width="7.33203125" customWidth="1"/>
  </cols>
  <sheetData>
    <row r="1" spans="1:15" x14ac:dyDescent="0.3">
      <c r="A1" s="1" t="s">
        <v>31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42</v>
      </c>
      <c r="O1" s="1" t="s">
        <v>81</v>
      </c>
    </row>
    <row r="2" spans="1:15" x14ac:dyDescent="0.3">
      <c r="A2" s="1" t="s">
        <v>1</v>
      </c>
      <c r="B2">
        <v>1</v>
      </c>
      <c r="C2">
        <v>1</v>
      </c>
      <c r="D2" s="1">
        <v>0</v>
      </c>
      <c r="E2">
        <v>0</v>
      </c>
      <c r="F2" s="1">
        <v>0</v>
      </c>
      <c r="G2" s="1">
        <v>1</v>
      </c>
      <c r="H2">
        <v>1</v>
      </c>
      <c r="I2">
        <v>1</v>
      </c>
      <c r="J2">
        <v>1</v>
      </c>
      <c r="K2" s="1">
        <v>1</v>
      </c>
      <c r="L2">
        <v>1</v>
      </c>
      <c r="M2">
        <v>1</v>
      </c>
      <c r="N2">
        <f>SUM(B2:M2)</f>
        <v>9</v>
      </c>
      <c r="O2">
        <f>N2/12*100</f>
        <v>75</v>
      </c>
    </row>
    <row r="3" spans="1:15" x14ac:dyDescent="0.3">
      <c r="A3" s="1" t="s">
        <v>2</v>
      </c>
      <c r="B3">
        <v>1</v>
      </c>
      <c r="C3">
        <v>1</v>
      </c>
      <c r="D3" s="1">
        <v>0</v>
      </c>
      <c r="E3">
        <v>0</v>
      </c>
      <c r="F3" s="1">
        <v>0</v>
      </c>
      <c r="G3" s="1">
        <v>1</v>
      </c>
      <c r="H3">
        <v>1</v>
      </c>
      <c r="I3">
        <v>1</v>
      </c>
      <c r="J3">
        <v>1</v>
      </c>
      <c r="K3" s="1">
        <v>1</v>
      </c>
      <c r="L3">
        <v>1</v>
      </c>
      <c r="M3">
        <v>1</v>
      </c>
      <c r="N3">
        <f t="shared" ref="N3:N26" si="0">SUM(B3:M3)</f>
        <v>9</v>
      </c>
      <c r="O3">
        <f t="shared" ref="O3:O26" si="1">N3/12*100</f>
        <v>75</v>
      </c>
    </row>
    <row r="4" spans="1:15" x14ac:dyDescent="0.3">
      <c r="A4" s="1" t="s">
        <v>3</v>
      </c>
      <c r="B4">
        <v>1</v>
      </c>
      <c r="C4">
        <v>1</v>
      </c>
      <c r="D4" s="1">
        <v>0</v>
      </c>
      <c r="E4">
        <v>0</v>
      </c>
      <c r="F4" s="1">
        <v>0</v>
      </c>
      <c r="G4" s="1">
        <v>1</v>
      </c>
      <c r="H4">
        <v>1</v>
      </c>
      <c r="I4">
        <v>1</v>
      </c>
      <c r="J4">
        <v>1</v>
      </c>
      <c r="K4" s="1">
        <v>1</v>
      </c>
      <c r="L4">
        <v>1</v>
      </c>
      <c r="M4">
        <v>1</v>
      </c>
      <c r="N4">
        <f t="shared" si="0"/>
        <v>9</v>
      </c>
      <c r="O4">
        <f t="shared" si="1"/>
        <v>75</v>
      </c>
    </row>
    <row r="5" spans="1:15" x14ac:dyDescent="0.3">
      <c r="A5" s="1" t="s">
        <v>4</v>
      </c>
      <c r="B5">
        <v>1</v>
      </c>
      <c r="C5">
        <v>1</v>
      </c>
      <c r="D5" s="1">
        <v>0</v>
      </c>
      <c r="E5">
        <v>0</v>
      </c>
      <c r="F5" s="1">
        <v>0</v>
      </c>
      <c r="G5" s="1">
        <v>1</v>
      </c>
      <c r="H5">
        <v>1</v>
      </c>
      <c r="I5">
        <v>1</v>
      </c>
      <c r="J5">
        <v>1</v>
      </c>
      <c r="K5" s="1">
        <v>1</v>
      </c>
      <c r="L5">
        <v>1</v>
      </c>
      <c r="M5">
        <v>1</v>
      </c>
      <c r="N5">
        <f t="shared" si="0"/>
        <v>9</v>
      </c>
      <c r="O5">
        <f t="shared" si="1"/>
        <v>75</v>
      </c>
    </row>
    <row r="6" spans="1:15" x14ac:dyDescent="0.3">
      <c r="A6" s="1" t="s">
        <v>5</v>
      </c>
      <c r="B6">
        <v>1</v>
      </c>
      <c r="C6">
        <v>1</v>
      </c>
      <c r="D6" s="1">
        <v>0</v>
      </c>
      <c r="E6">
        <v>0</v>
      </c>
      <c r="F6" s="1">
        <v>0</v>
      </c>
      <c r="G6" s="1">
        <v>1</v>
      </c>
      <c r="H6">
        <v>1</v>
      </c>
      <c r="I6">
        <v>1</v>
      </c>
      <c r="J6">
        <v>1</v>
      </c>
      <c r="K6" s="1">
        <v>1</v>
      </c>
      <c r="L6">
        <v>1</v>
      </c>
      <c r="M6">
        <v>1</v>
      </c>
      <c r="N6">
        <f t="shared" si="0"/>
        <v>9</v>
      </c>
      <c r="O6">
        <f t="shared" si="1"/>
        <v>75</v>
      </c>
    </row>
    <row r="7" spans="1:15" ht="16.8" thickBot="1" x14ac:dyDescent="0.35">
      <c r="A7" s="3" t="s">
        <v>6</v>
      </c>
      <c r="B7" s="4">
        <v>1</v>
      </c>
      <c r="C7" s="4">
        <v>1</v>
      </c>
      <c r="D7" s="2">
        <v>0</v>
      </c>
      <c r="E7" s="4">
        <v>0</v>
      </c>
      <c r="F7" s="2">
        <v>0</v>
      </c>
      <c r="G7" s="2">
        <v>1</v>
      </c>
      <c r="H7" s="4">
        <v>1</v>
      </c>
      <c r="I7" s="4">
        <v>1</v>
      </c>
      <c r="J7" s="4">
        <v>1</v>
      </c>
      <c r="K7" s="2">
        <v>1</v>
      </c>
      <c r="L7" s="4">
        <v>1</v>
      </c>
      <c r="M7" s="4">
        <v>1</v>
      </c>
      <c r="N7">
        <f t="shared" si="0"/>
        <v>9</v>
      </c>
      <c r="O7">
        <f t="shared" si="1"/>
        <v>75</v>
      </c>
    </row>
    <row r="8" spans="1:15" x14ac:dyDescent="0.3">
      <c r="A8" s="1" t="s">
        <v>7</v>
      </c>
      <c r="B8">
        <v>1</v>
      </c>
      <c r="C8">
        <v>1</v>
      </c>
      <c r="D8" s="1">
        <v>0</v>
      </c>
      <c r="E8">
        <v>0</v>
      </c>
      <c r="F8" s="1">
        <v>0</v>
      </c>
      <c r="G8" s="1">
        <v>1</v>
      </c>
      <c r="H8">
        <v>1</v>
      </c>
      <c r="I8">
        <v>1</v>
      </c>
      <c r="J8">
        <v>1</v>
      </c>
      <c r="K8" s="1">
        <v>1</v>
      </c>
      <c r="L8">
        <v>1</v>
      </c>
      <c r="M8">
        <v>1</v>
      </c>
      <c r="N8">
        <f t="shared" si="0"/>
        <v>9</v>
      </c>
      <c r="O8">
        <f t="shared" si="1"/>
        <v>75</v>
      </c>
    </row>
    <row r="9" spans="1:15" x14ac:dyDescent="0.3">
      <c r="A9" s="1" t="s">
        <v>8</v>
      </c>
      <c r="B9">
        <v>1</v>
      </c>
      <c r="C9">
        <v>1</v>
      </c>
      <c r="D9" s="1">
        <v>0</v>
      </c>
      <c r="E9">
        <v>0</v>
      </c>
      <c r="F9" s="1">
        <v>0</v>
      </c>
      <c r="G9" s="1">
        <v>1</v>
      </c>
      <c r="H9">
        <v>1</v>
      </c>
      <c r="I9">
        <v>1</v>
      </c>
      <c r="J9">
        <v>1</v>
      </c>
      <c r="K9" s="1">
        <v>1</v>
      </c>
      <c r="L9">
        <v>1</v>
      </c>
      <c r="M9">
        <v>1</v>
      </c>
      <c r="N9">
        <f t="shared" si="0"/>
        <v>9</v>
      </c>
      <c r="O9">
        <f t="shared" si="1"/>
        <v>75</v>
      </c>
    </row>
    <row r="10" spans="1:15" x14ac:dyDescent="0.3">
      <c r="A10" s="1" t="s">
        <v>9</v>
      </c>
      <c r="B10">
        <v>1</v>
      </c>
      <c r="C10">
        <v>1</v>
      </c>
      <c r="D10" s="1">
        <v>0</v>
      </c>
      <c r="E10">
        <v>0</v>
      </c>
      <c r="F10" s="1">
        <v>0</v>
      </c>
      <c r="G10" s="1">
        <v>1</v>
      </c>
      <c r="H10">
        <v>1</v>
      </c>
      <c r="I10">
        <v>1</v>
      </c>
      <c r="J10">
        <v>1</v>
      </c>
      <c r="K10" s="1">
        <v>1</v>
      </c>
      <c r="L10">
        <v>1</v>
      </c>
      <c r="M10">
        <v>1</v>
      </c>
      <c r="N10">
        <f t="shared" si="0"/>
        <v>9</v>
      </c>
      <c r="O10">
        <f t="shared" si="1"/>
        <v>75</v>
      </c>
    </row>
    <row r="11" spans="1:15" x14ac:dyDescent="0.3">
      <c r="A11" s="1" t="s">
        <v>10</v>
      </c>
      <c r="B11">
        <v>1</v>
      </c>
      <c r="C11">
        <v>1</v>
      </c>
      <c r="D11" s="1">
        <v>0</v>
      </c>
      <c r="E11">
        <v>0</v>
      </c>
      <c r="F11" s="1">
        <v>0</v>
      </c>
      <c r="G11" s="1">
        <v>1</v>
      </c>
      <c r="H11">
        <v>1</v>
      </c>
      <c r="I11">
        <v>1</v>
      </c>
      <c r="J11">
        <v>1</v>
      </c>
      <c r="K11" s="1">
        <v>1</v>
      </c>
      <c r="L11">
        <v>1</v>
      </c>
      <c r="M11">
        <v>1</v>
      </c>
      <c r="N11">
        <f t="shared" si="0"/>
        <v>9</v>
      </c>
      <c r="O11">
        <f t="shared" si="1"/>
        <v>75</v>
      </c>
    </row>
    <row r="12" spans="1:15" ht="16.8" thickBot="1" x14ac:dyDescent="0.35">
      <c r="A12" s="3" t="s">
        <v>11</v>
      </c>
      <c r="B12" s="4">
        <v>1</v>
      </c>
      <c r="C12" s="4">
        <v>1</v>
      </c>
      <c r="D12" s="2">
        <v>0</v>
      </c>
      <c r="E12" s="4">
        <v>0</v>
      </c>
      <c r="F12" s="2">
        <v>0</v>
      </c>
      <c r="G12" s="2">
        <v>1</v>
      </c>
      <c r="H12" s="4">
        <v>1</v>
      </c>
      <c r="I12" s="4">
        <v>1</v>
      </c>
      <c r="J12" s="4">
        <v>1</v>
      </c>
      <c r="K12" s="2">
        <v>1</v>
      </c>
      <c r="L12" s="4">
        <v>1</v>
      </c>
      <c r="M12" s="4">
        <v>1</v>
      </c>
      <c r="N12">
        <f t="shared" si="0"/>
        <v>9</v>
      </c>
      <c r="O12">
        <f t="shared" si="1"/>
        <v>75</v>
      </c>
    </row>
    <row r="13" spans="1:15" x14ac:dyDescent="0.3">
      <c r="A13" s="1" t="s">
        <v>12</v>
      </c>
      <c r="B13">
        <v>1</v>
      </c>
      <c r="C13">
        <v>1</v>
      </c>
      <c r="D13" s="1">
        <v>0</v>
      </c>
      <c r="E13">
        <v>0</v>
      </c>
      <c r="F13" s="1">
        <v>0</v>
      </c>
      <c r="G13" s="1">
        <v>1</v>
      </c>
      <c r="H13">
        <v>1</v>
      </c>
      <c r="I13">
        <v>1</v>
      </c>
      <c r="J13">
        <v>1</v>
      </c>
      <c r="K13" s="1">
        <v>1</v>
      </c>
      <c r="L13">
        <v>1</v>
      </c>
      <c r="M13">
        <v>1</v>
      </c>
      <c r="N13">
        <f t="shared" si="0"/>
        <v>9</v>
      </c>
      <c r="O13">
        <f t="shared" si="1"/>
        <v>75</v>
      </c>
    </row>
    <row r="14" spans="1:15" x14ac:dyDescent="0.3">
      <c r="A14" s="1" t="s">
        <v>13</v>
      </c>
      <c r="B14">
        <v>1</v>
      </c>
      <c r="C14">
        <v>1</v>
      </c>
      <c r="D14" s="1">
        <v>0</v>
      </c>
      <c r="E14">
        <v>0</v>
      </c>
      <c r="F14" s="1">
        <v>0</v>
      </c>
      <c r="G14" s="1">
        <v>1</v>
      </c>
      <c r="H14">
        <v>1</v>
      </c>
      <c r="I14">
        <v>1</v>
      </c>
      <c r="J14">
        <v>1</v>
      </c>
      <c r="K14" s="1">
        <v>1</v>
      </c>
      <c r="L14">
        <v>1</v>
      </c>
      <c r="M14">
        <v>1</v>
      </c>
      <c r="N14">
        <f t="shared" si="0"/>
        <v>9</v>
      </c>
      <c r="O14">
        <f t="shared" si="1"/>
        <v>75</v>
      </c>
    </row>
    <row r="15" spans="1:15" x14ac:dyDescent="0.3">
      <c r="A15" s="1" t="s">
        <v>14</v>
      </c>
      <c r="B15">
        <v>1</v>
      </c>
      <c r="C15">
        <v>1</v>
      </c>
      <c r="D15" s="1">
        <v>0</v>
      </c>
      <c r="E15">
        <v>0</v>
      </c>
      <c r="F15" s="1">
        <v>0</v>
      </c>
      <c r="G15" s="1">
        <v>1</v>
      </c>
      <c r="H15">
        <v>1</v>
      </c>
      <c r="I15">
        <v>1</v>
      </c>
      <c r="J15">
        <v>1</v>
      </c>
      <c r="K15" s="1">
        <v>1</v>
      </c>
      <c r="L15">
        <v>1</v>
      </c>
      <c r="M15">
        <v>1</v>
      </c>
      <c r="N15">
        <f t="shared" si="0"/>
        <v>9</v>
      </c>
      <c r="O15">
        <f t="shared" si="1"/>
        <v>75</v>
      </c>
    </row>
    <row r="16" spans="1:15" x14ac:dyDescent="0.3">
      <c r="A16" s="1" t="s">
        <v>15</v>
      </c>
      <c r="B16">
        <v>1</v>
      </c>
      <c r="C16">
        <v>1</v>
      </c>
      <c r="D16" s="1">
        <v>0</v>
      </c>
      <c r="E16">
        <v>1</v>
      </c>
      <c r="F16" s="1">
        <v>0</v>
      </c>
      <c r="G16" s="1">
        <v>1</v>
      </c>
      <c r="H16">
        <v>1</v>
      </c>
      <c r="I16">
        <v>1</v>
      </c>
      <c r="J16">
        <v>1</v>
      </c>
      <c r="K16" s="1">
        <v>1</v>
      </c>
      <c r="L16">
        <v>1</v>
      </c>
      <c r="M16">
        <v>1</v>
      </c>
      <c r="N16">
        <f t="shared" si="0"/>
        <v>10</v>
      </c>
      <c r="O16">
        <f t="shared" si="1"/>
        <v>83.333333333333343</v>
      </c>
    </row>
    <row r="17" spans="1:15" x14ac:dyDescent="0.3">
      <c r="A17" s="2" t="s">
        <v>16</v>
      </c>
      <c r="B17" s="4">
        <v>1</v>
      </c>
      <c r="C17" s="4">
        <v>1</v>
      </c>
      <c r="D17" s="2">
        <v>0</v>
      </c>
      <c r="E17" s="4">
        <v>1</v>
      </c>
      <c r="F17" s="2">
        <v>0</v>
      </c>
      <c r="G17" s="2">
        <v>1</v>
      </c>
      <c r="H17" s="4">
        <v>1</v>
      </c>
      <c r="I17" s="4">
        <v>1</v>
      </c>
      <c r="J17" s="4">
        <v>1</v>
      </c>
      <c r="K17" s="2">
        <v>1</v>
      </c>
      <c r="L17" s="4">
        <v>1</v>
      </c>
      <c r="M17" s="4">
        <v>1</v>
      </c>
      <c r="N17">
        <f t="shared" si="0"/>
        <v>10</v>
      </c>
      <c r="O17">
        <f t="shared" si="1"/>
        <v>83.333333333333343</v>
      </c>
    </row>
    <row r="18" spans="1:15" x14ac:dyDescent="0.3">
      <c r="A18" s="1" t="s">
        <v>17</v>
      </c>
      <c r="B18">
        <v>1</v>
      </c>
      <c r="C18">
        <v>1</v>
      </c>
      <c r="D18" s="1">
        <v>0</v>
      </c>
      <c r="E18">
        <v>1</v>
      </c>
      <c r="F18" s="1">
        <v>0</v>
      </c>
      <c r="G18" s="1">
        <v>1</v>
      </c>
      <c r="H18">
        <v>1</v>
      </c>
      <c r="I18">
        <v>1</v>
      </c>
      <c r="J18">
        <v>1</v>
      </c>
      <c r="K18" s="1">
        <v>1</v>
      </c>
      <c r="L18">
        <v>1</v>
      </c>
      <c r="M18">
        <v>1</v>
      </c>
      <c r="N18">
        <f t="shared" si="0"/>
        <v>10</v>
      </c>
      <c r="O18">
        <f t="shared" si="1"/>
        <v>83.333333333333343</v>
      </c>
    </row>
    <row r="19" spans="1:15" x14ac:dyDescent="0.3">
      <c r="A19" s="1" t="s">
        <v>18</v>
      </c>
      <c r="B19">
        <v>1</v>
      </c>
      <c r="C19">
        <v>1</v>
      </c>
      <c r="D19" s="1">
        <v>0</v>
      </c>
      <c r="E19">
        <v>1</v>
      </c>
      <c r="F19" s="1">
        <v>1</v>
      </c>
      <c r="G19" s="1">
        <v>1</v>
      </c>
      <c r="H19">
        <v>1</v>
      </c>
      <c r="I19">
        <v>1</v>
      </c>
      <c r="J19">
        <v>1</v>
      </c>
      <c r="K19" s="1">
        <v>1</v>
      </c>
      <c r="L19">
        <v>1</v>
      </c>
      <c r="M19">
        <v>1</v>
      </c>
      <c r="N19">
        <f t="shared" si="0"/>
        <v>11</v>
      </c>
      <c r="O19">
        <f t="shared" si="1"/>
        <v>91.666666666666657</v>
      </c>
    </row>
    <row r="20" spans="1:15" ht="16.8" thickBot="1" x14ac:dyDescent="0.35">
      <c r="A20" s="3" t="s">
        <v>19</v>
      </c>
      <c r="B20" s="4">
        <v>1</v>
      </c>
      <c r="C20" s="4">
        <v>1</v>
      </c>
      <c r="D20" s="2">
        <v>0</v>
      </c>
      <c r="E20" s="4">
        <v>1</v>
      </c>
      <c r="F20" s="2">
        <v>1</v>
      </c>
      <c r="G20" s="2">
        <v>1</v>
      </c>
      <c r="H20" s="4">
        <v>1</v>
      </c>
      <c r="I20" s="4">
        <v>1</v>
      </c>
      <c r="J20" s="4">
        <v>1</v>
      </c>
      <c r="K20" s="2">
        <v>1</v>
      </c>
      <c r="L20" s="4">
        <v>1</v>
      </c>
      <c r="M20" s="4">
        <v>1</v>
      </c>
      <c r="N20">
        <f t="shared" si="0"/>
        <v>11</v>
      </c>
      <c r="O20">
        <f t="shared" si="1"/>
        <v>91.666666666666657</v>
      </c>
    </row>
    <row r="21" spans="1:15" x14ac:dyDescent="0.3">
      <c r="A21" s="1" t="s">
        <v>20</v>
      </c>
      <c r="B21">
        <v>1</v>
      </c>
      <c r="C21">
        <v>1</v>
      </c>
      <c r="D21" s="1">
        <v>0</v>
      </c>
      <c r="E21" s="1">
        <v>1</v>
      </c>
      <c r="F21" s="1">
        <v>0</v>
      </c>
      <c r="G21" s="1">
        <v>1</v>
      </c>
      <c r="H21">
        <v>1</v>
      </c>
      <c r="I21">
        <v>1</v>
      </c>
      <c r="J21">
        <v>1</v>
      </c>
      <c r="K21" s="1">
        <v>1</v>
      </c>
      <c r="L21">
        <v>1</v>
      </c>
      <c r="M21">
        <v>1</v>
      </c>
      <c r="N21">
        <f t="shared" si="0"/>
        <v>10</v>
      </c>
      <c r="O21">
        <f t="shared" si="1"/>
        <v>83.333333333333343</v>
      </c>
    </row>
    <row r="22" spans="1:15" x14ac:dyDescent="0.3">
      <c r="A22" s="1" t="s">
        <v>21</v>
      </c>
      <c r="B22">
        <v>1</v>
      </c>
      <c r="C22">
        <v>1</v>
      </c>
      <c r="D22" s="1">
        <v>0</v>
      </c>
      <c r="E22" s="1">
        <v>0</v>
      </c>
      <c r="F22" s="1">
        <v>0</v>
      </c>
      <c r="G22" s="1">
        <v>1</v>
      </c>
      <c r="H22">
        <v>1</v>
      </c>
      <c r="I22">
        <v>1</v>
      </c>
      <c r="J22">
        <v>1</v>
      </c>
      <c r="K22" s="1">
        <v>1</v>
      </c>
      <c r="L22">
        <v>1</v>
      </c>
      <c r="M22">
        <v>1</v>
      </c>
      <c r="N22">
        <f t="shared" si="0"/>
        <v>9</v>
      </c>
      <c r="O22">
        <f t="shared" si="1"/>
        <v>75</v>
      </c>
    </row>
    <row r="23" spans="1:15" ht="16.8" thickBot="1" x14ac:dyDescent="0.35">
      <c r="A23" s="3" t="s">
        <v>22</v>
      </c>
      <c r="B23" s="2">
        <v>1</v>
      </c>
      <c r="C23" s="4">
        <v>1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>
        <v>0</v>
      </c>
      <c r="J23" s="4">
        <v>1</v>
      </c>
      <c r="K23" s="2">
        <v>1</v>
      </c>
      <c r="L23" s="4">
        <v>1</v>
      </c>
      <c r="M23" s="4">
        <v>1</v>
      </c>
      <c r="N23">
        <f t="shared" si="0"/>
        <v>8</v>
      </c>
      <c r="O23">
        <f t="shared" si="1"/>
        <v>66.666666666666657</v>
      </c>
    </row>
    <row r="24" spans="1:15" x14ac:dyDescent="0.3">
      <c r="A24" s="1" t="s">
        <v>42</v>
      </c>
      <c r="B24">
        <f>SUM(B2:B23)</f>
        <v>22</v>
      </c>
      <c r="C24">
        <f t="shared" ref="C24:M24" si="2">SUM(C2:C23)</f>
        <v>22</v>
      </c>
      <c r="D24">
        <f t="shared" si="2"/>
        <v>0</v>
      </c>
      <c r="E24">
        <f t="shared" si="2"/>
        <v>7</v>
      </c>
      <c r="F24">
        <f t="shared" si="2"/>
        <v>2</v>
      </c>
      <c r="G24">
        <f t="shared" si="2"/>
        <v>22</v>
      </c>
      <c r="H24">
        <f t="shared" si="2"/>
        <v>21</v>
      </c>
      <c r="I24">
        <f t="shared" si="2"/>
        <v>21</v>
      </c>
      <c r="J24">
        <f t="shared" si="2"/>
        <v>22</v>
      </c>
      <c r="K24">
        <f t="shared" si="2"/>
        <v>22</v>
      </c>
      <c r="L24">
        <f t="shared" si="2"/>
        <v>22</v>
      </c>
      <c r="M24">
        <f t="shared" si="2"/>
        <v>22</v>
      </c>
      <c r="N24">
        <f t="shared" si="0"/>
        <v>205</v>
      </c>
      <c r="O24">
        <f t="shared" si="1"/>
        <v>1708.3333333333333</v>
      </c>
    </row>
    <row r="25" spans="1:15" x14ac:dyDescent="0.3">
      <c r="B25" s="1" t="s">
        <v>43</v>
      </c>
      <c r="C25" s="1" t="s">
        <v>44</v>
      </c>
      <c r="D25" s="1" t="s">
        <v>45</v>
      </c>
      <c r="E25" s="1" t="s">
        <v>41</v>
      </c>
      <c r="F25" s="1" t="s">
        <v>46</v>
      </c>
      <c r="G25" s="1" t="s">
        <v>47</v>
      </c>
      <c r="H25" s="1" t="s">
        <v>48</v>
      </c>
      <c r="I25" s="1" t="s">
        <v>49</v>
      </c>
      <c r="J25" s="1" t="s">
        <v>50</v>
      </c>
      <c r="K25" s="1" t="s">
        <v>51</v>
      </c>
      <c r="L25" s="1" t="s">
        <v>52</v>
      </c>
      <c r="M25" s="1" t="s">
        <v>53</v>
      </c>
      <c r="N25">
        <f t="shared" si="0"/>
        <v>0</v>
      </c>
      <c r="O25">
        <f t="shared" si="1"/>
        <v>0</v>
      </c>
    </row>
    <row r="26" spans="1:15" x14ac:dyDescent="0.3">
      <c r="B26" s="8">
        <f>B24/22*100</f>
        <v>100</v>
      </c>
      <c r="C26" s="8">
        <f t="shared" ref="C26:M26" si="3">C24/22*100</f>
        <v>100</v>
      </c>
      <c r="D26" s="8">
        <f t="shared" si="3"/>
        <v>0</v>
      </c>
      <c r="E26" s="8">
        <f t="shared" si="3"/>
        <v>31.818181818181817</v>
      </c>
      <c r="F26" s="8">
        <f t="shared" si="3"/>
        <v>9.0909090909090917</v>
      </c>
      <c r="G26" s="8">
        <f t="shared" si="3"/>
        <v>100</v>
      </c>
      <c r="H26" s="8">
        <f t="shared" si="3"/>
        <v>95.454545454545453</v>
      </c>
      <c r="I26" s="8">
        <f t="shared" si="3"/>
        <v>95.454545454545453</v>
      </c>
      <c r="J26" s="8">
        <f t="shared" si="3"/>
        <v>100</v>
      </c>
      <c r="K26" s="8">
        <f t="shared" si="3"/>
        <v>100</v>
      </c>
      <c r="L26" s="8">
        <f t="shared" si="3"/>
        <v>100</v>
      </c>
      <c r="M26" s="8">
        <f t="shared" si="3"/>
        <v>100</v>
      </c>
      <c r="N26">
        <f t="shared" si="0"/>
        <v>931.81818181818176</v>
      </c>
      <c r="O26">
        <f>N26/12</f>
        <v>77.651515151515142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A69E-11CE-4F5C-BF53-67E8166FBE38}">
  <dimension ref="A1:K26"/>
  <sheetViews>
    <sheetView zoomScale="85" zoomScaleNormal="85" workbookViewId="0">
      <selection activeCell="K2" sqref="K2:K23"/>
    </sheetView>
  </sheetViews>
  <sheetFormatPr defaultRowHeight="16.2" x14ac:dyDescent="0.3"/>
  <cols>
    <col min="2" max="2" width="6" bestFit="1" customWidth="1"/>
    <col min="3" max="3" width="5.44140625" customWidth="1"/>
    <col min="4" max="4" width="7.5546875" customWidth="1"/>
    <col min="5" max="5" width="7.6640625" customWidth="1"/>
    <col min="6" max="6" width="7.33203125" customWidth="1"/>
    <col min="7" max="7" width="5.88671875" customWidth="1"/>
    <col min="8" max="8" width="5.44140625" customWidth="1"/>
    <col min="9" max="9" width="5.88671875" customWidth="1"/>
  </cols>
  <sheetData>
    <row r="1" spans="1:11" x14ac:dyDescent="0.3">
      <c r="A1" s="1" t="s">
        <v>0</v>
      </c>
      <c r="B1" s="9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42</v>
      </c>
      <c r="K1" s="1" t="s">
        <v>81</v>
      </c>
    </row>
    <row r="2" spans="1:11" x14ac:dyDescent="0.3">
      <c r="A2" s="1" t="s">
        <v>1</v>
      </c>
      <c r="B2" s="1">
        <v>0</v>
      </c>
      <c r="C2" s="1">
        <v>0</v>
      </c>
      <c r="D2">
        <v>1</v>
      </c>
      <c r="E2" s="1">
        <v>0</v>
      </c>
      <c r="F2">
        <v>1</v>
      </c>
      <c r="G2" s="1">
        <v>0</v>
      </c>
      <c r="H2" s="1">
        <v>0</v>
      </c>
      <c r="I2" s="1">
        <v>0</v>
      </c>
      <c r="J2">
        <f>SUM(B2:I2)</f>
        <v>2</v>
      </c>
      <c r="K2">
        <f>J2/8*100</f>
        <v>25</v>
      </c>
    </row>
    <row r="3" spans="1:11" x14ac:dyDescent="0.3">
      <c r="A3" s="1" t="s">
        <v>2</v>
      </c>
      <c r="B3" s="1">
        <v>0</v>
      </c>
      <c r="C3" s="1">
        <v>0</v>
      </c>
      <c r="D3">
        <v>1</v>
      </c>
      <c r="E3" s="1">
        <v>0</v>
      </c>
      <c r="F3">
        <v>1</v>
      </c>
      <c r="G3" s="1">
        <v>0</v>
      </c>
      <c r="H3" s="1">
        <v>0</v>
      </c>
      <c r="I3" s="1">
        <v>0</v>
      </c>
      <c r="J3">
        <f t="shared" ref="J3:J26" si="0">SUM(B3:I3)</f>
        <v>2</v>
      </c>
      <c r="K3">
        <f t="shared" ref="K3:K26" si="1">J3/8*100</f>
        <v>25</v>
      </c>
    </row>
    <row r="4" spans="1:11" x14ac:dyDescent="0.3">
      <c r="A4" s="1" t="s">
        <v>3</v>
      </c>
      <c r="B4" s="1">
        <v>0</v>
      </c>
      <c r="C4" s="1">
        <v>0</v>
      </c>
      <c r="D4">
        <v>1</v>
      </c>
      <c r="E4" s="1">
        <v>0</v>
      </c>
      <c r="F4">
        <v>1</v>
      </c>
      <c r="G4" s="1">
        <v>0</v>
      </c>
      <c r="H4" s="1">
        <v>0</v>
      </c>
      <c r="I4" s="1">
        <v>0</v>
      </c>
      <c r="J4">
        <f t="shared" si="0"/>
        <v>2</v>
      </c>
      <c r="K4">
        <f t="shared" si="1"/>
        <v>25</v>
      </c>
    </row>
    <row r="5" spans="1:11" x14ac:dyDescent="0.3">
      <c r="A5" s="1" t="s">
        <v>4</v>
      </c>
      <c r="B5" s="1">
        <v>0</v>
      </c>
      <c r="C5" s="1">
        <v>0</v>
      </c>
      <c r="D5">
        <v>1</v>
      </c>
      <c r="E5" s="1">
        <v>0</v>
      </c>
      <c r="F5">
        <v>1</v>
      </c>
      <c r="G5" s="1">
        <v>0</v>
      </c>
      <c r="H5" s="1">
        <v>0</v>
      </c>
      <c r="I5" s="1">
        <v>0</v>
      </c>
      <c r="J5">
        <f t="shared" si="0"/>
        <v>2</v>
      </c>
      <c r="K5">
        <f t="shared" si="1"/>
        <v>25</v>
      </c>
    </row>
    <row r="6" spans="1:11" x14ac:dyDescent="0.3">
      <c r="A6" s="1" t="s">
        <v>5</v>
      </c>
      <c r="B6" s="1">
        <v>0</v>
      </c>
      <c r="C6" s="1">
        <v>0</v>
      </c>
      <c r="D6">
        <v>1</v>
      </c>
      <c r="E6" s="1">
        <v>0</v>
      </c>
      <c r="F6">
        <v>1</v>
      </c>
      <c r="G6" s="1">
        <v>0</v>
      </c>
      <c r="H6" s="1">
        <v>0</v>
      </c>
      <c r="I6" s="1">
        <v>1</v>
      </c>
      <c r="J6">
        <f t="shared" si="0"/>
        <v>3</v>
      </c>
      <c r="K6">
        <f t="shared" si="1"/>
        <v>37.5</v>
      </c>
    </row>
    <row r="7" spans="1:11" ht="16.8" thickBot="1" x14ac:dyDescent="0.35">
      <c r="A7" s="3" t="s">
        <v>6</v>
      </c>
      <c r="B7" s="1">
        <v>0</v>
      </c>
      <c r="C7" s="1">
        <v>0</v>
      </c>
      <c r="D7" s="4">
        <v>1</v>
      </c>
      <c r="E7" s="1">
        <v>0</v>
      </c>
      <c r="F7" s="4">
        <v>1</v>
      </c>
      <c r="G7" s="1">
        <v>0</v>
      </c>
      <c r="H7" s="2">
        <v>0</v>
      </c>
      <c r="I7" s="2">
        <v>1</v>
      </c>
      <c r="J7">
        <f t="shared" si="0"/>
        <v>3</v>
      </c>
      <c r="K7">
        <f t="shared" si="1"/>
        <v>37.5</v>
      </c>
    </row>
    <row r="8" spans="1:11" x14ac:dyDescent="0.3">
      <c r="A8" s="1" t="s">
        <v>7</v>
      </c>
      <c r="B8" s="1">
        <v>0</v>
      </c>
      <c r="C8" s="1">
        <v>0</v>
      </c>
      <c r="D8">
        <v>1</v>
      </c>
      <c r="E8" s="1">
        <v>0</v>
      </c>
      <c r="F8">
        <v>1</v>
      </c>
      <c r="G8" s="1">
        <v>0</v>
      </c>
      <c r="H8" s="1">
        <v>0</v>
      </c>
      <c r="I8" s="1">
        <v>1</v>
      </c>
      <c r="J8">
        <f t="shared" si="0"/>
        <v>3</v>
      </c>
      <c r="K8">
        <f t="shared" si="1"/>
        <v>37.5</v>
      </c>
    </row>
    <row r="9" spans="1:11" x14ac:dyDescent="0.3">
      <c r="A9" s="1" t="s">
        <v>8</v>
      </c>
      <c r="B9" s="1">
        <v>0</v>
      </c>
      <c r="C9" s="1">
        <v>0</v>
      </c>
      <c r="D9">
        <v>1</v>
      </c>
      <c r="E9" s="1">
        <v>0</v>
      </c>
      <c r="F9">
        <v>1</v>
      </c>
      <c r="G9" s="1">
        <v>0</v>
      </c>
      <c r="H9" s="1">
        <v>1</v>
      </c>
      <c r="I9" s="1">
        <v>1</v>
      </c>
      <c r="J9">
        <f t="shared" si="0"/>
        <v>4</v>
      </c>
      <c r="K9">
        <f t="shared" si="1"/>
        <v>50</v>
      </c>
    </row>
    <row r="10" spans="1:11" x14ac:dyDescent="0.3">
      <c r="A10" s="1" t="s">
        <v>9</v>
      </c>
      <c r="B10" s="1">
        <v>0</v>
      </c>
      <c r="C10" s="1">
        <v>0</v>
      </c>
      <c r="D10">
        <v>1</v>
      </c>
      <c r="E10" s="1">
        <v>0</v>
      </c>
      <c r="F10">
        <v>1</v>
      </c>
      <c r="G10" s="1">
        <v>0</v>
      </c>
      <c r="H10" s="1">
        <v>1</v>
      </c>
      <c r="I10" s="1">
        <v>1</v>
      </c>
      <c r="J10">
        <f t="shared" si="0"/>
        <v>4</v>
      </c>
      <c r="K10">
        <f t="shared" si="1"/>
        <v>50</v>
      </c>
    </row>
    <row r="11" spans="1:11" x14ac:dyDescent="0.3">
      <c r="A11" s="1" t="s">
        <v>10</v>
      </c>
      <c r="B11" s="1">
        <v>0</v>
      </c>
      <c r="C11" s="1">
        <v>0</v>
      </c>
      <c r="D11">
        <v>1</v>
      </c>
      <c r="E11" s="1">
        <v>0</v>
      </c>
      <c r="F11">
        <v>1</v>
      </c>
      <c r="G11" s="1">
        <v>0</v>
      </c>
      <c r="H11" s="1">
        <v>1</v>
      </c>
      <c r="I11" s="1">
        <v>1</v>
      </c>
      <c r="J11">
        <f t="shared" si="0"/>
        <v>4</v>
      </c>
      <c r="K11">
        <f t="shared" si="1"/>
        <v>50</v>
      </c>
    </row>
    <row r="12" spans="1:11" ht="16.8" thickBot="1" x14ac:dyDescent="0.35">
      <c r="A12" s="3" t="s">
        <v>11</v>
      </c>
      <c r="B12" s="1">
        <v>0</v>
      </c>
      <c r="C12" s="1">
        <v>0</v>
      </c>
      <c r="D12" s="4">
        <v>1</v>
      </c>
      <c r="E12" s="2">
        <v>1</v>
      </c>
      <c r="F12" s="4">
        <v>1</v>
      </c>
      <c r="G12" s="1">
        <v>0</v>
      </c>
      <c r="H12" s="2">
        <v>1</v>
      </c>
      <c r="I12" s="2">
        <v>1</v>
      </c>
      <c r="J12">
        <f t="shared" si="0"/>
        <v>5</v>
      </c>
      <c r="K12">
        <f t="shared" si="1"/>
        <v>62.5</v>
      </c>
    </row>
    <row r="13" spans="1:11" x14ac:dyDescent="0.3">
      <c r="A13" s="1" t="s">
        <v>12</v>
      </c>
      <c r="B13" s="1">
        <v>0</v>
      </c>
      <c r="C13" s="1">
        <v>0</v>
      </c>
      <c r="D13">
        <v>1</v>
      </c>
      <c r="E13" s="1">
        <v>0</v>
      </c>
      <c r="F13">
        <v>1</v>
      </c>
      <c r="G13" s="1">
        <v>0</v>
      </c>
      <c r="H13" s="1">
        <v>1</v>
      </c>
      <c r="I13" s="1">
        <v>1</v>
      </c>
      <c r="J13">
        <f t="shared" si="0"/>
        <v>4</v>
      </c>
      <c r="K13">
        <f t="shared" si="1"/>
        <v>50</v>
      </c>
    </row>
    <row r="14" spans="1:11" x14ac:dyDescent="0.3">
      <c r="A14" s="1" t="s">
        <v>13</v>
      </c>
      <c r="B14" s="1">
        <v>0</v>
      </c>
      <c r="C14" s="1">
        <v>0</v>
      </c>
      <c r="D14">
        <v>1</v>
      </c>
      <c r="E14" s="1">
        <v>0</v>
      </c>
      <c r="F14">
        <v>1</v>
      </c>
      <c r="G14" s="1">
        <v>0</v>
      </c>
      <c r="H14" s="1">
        <v>1</v>
      </c>
      <c r="I14" s="1">
        <v>1</v>
      </c>
      <c r="J14">
        <f t="shared" si="0"/>
        <v>4</v>
      </c>
      <c r="K14">
        <f t="shared" si="1"/>
        <v>50</v>
      </c>
    </row>
    <row r="15" spans="1:11" x14ac:dyDescent="0.3">
      <c r="A15" s="1" t="s">
        <v>14</v>
      </c>
      <c r="B15" s="1">
        <v>0</v>
      </c>
      <c r="C15" s="1">
        <v>0</v>
      </c>
      <c r="D15">
        <v>1</v>
      </c>
      <c r="E15" s="1">
        <v>1</v>
      </c>
      <c r="F15">
        <v>1</v>
      </c>
      <c r="G15" s="1">
        <v>1</v>
      </c>
      <c r="H15" s="1">
        <v>1</v>
      </c>
      <c r="I15" s="1">
        <v>1</v>
      </c>
      <c r="J15">
        <f t="shared" si="0"/>
        <v>6</v>
      </c>
      <c r="K15">
        <f t="shared" si="1"/>
        <v>75</v>
      </c>
    </row>
    <row r="16" spans="1:11" x14ac:dyDescent="0.3">
      <c r="A16" s="1" t="s">
        <v>15</v>
      </c>
      <c r="B16" s="1">
        <v>0</v>
      </c>
      <c r="C16" s="1">
        <v>0</v>
      </c>
      <c r="D16">
        <v>1</v>
      </c>
      <c r="E16" s="1">
        <v>1</v>
      </c>
      <c r="F16">
        <v>1</v>
      </c>
      <c r="G16" s="1">
        <v>1</v>
      </c>
      <c r="H16" s="1">
        <v>1</v>
      </c>
      <c r="I16" s="1">
        <v>1</v>
      </c>
      <c r="J16">
        <f t="shared" si="0"/>
        <v>6</v>
      </c>
      <c r="K16">
        <f t="shared" si="1"/>
        <v>75</v>
      </c>
    </row>
    <row r="17" spans="1:11" x14ac:dyDescent="0.3">
      <c r="A17" s="2" t="s">
        <v>16</v>
      </c>
      <c r="B17" s="2">
        <v>1</v>
      </c>
      <c r="C17" s="2">
        <v>1</v>
      </c>
      <c r="D17" s="4">
        <v>1</v>
      </c>
      <c r="E17" s="2">
        <v>1</v>
      </c>
      <c r="F17" s="4">
        <v>1</v>
      </c>
      <c r="G17" s="2">
        <v>1</v>
      </c>
      <c r="H17" s="2">
        <v>1</v>
      </c>
      <c r="I17" s="2">
        <v>1</v>
      </c>
      <c r="J17">
        <f t="shared" si="0"/>
        <v>8</v>
      </c>
      <c r="K17">
        <f t="shared" si="1"/>
        <v>100</v>
      </c>
    </row>
    <row r="18" spans="1:11" x14ac:dyDescent="0.3">
      <c r="A18" s="1" t="s">
        <v>17</v>
      </c>
      <c r="B18" s="1">
        <v>0</v>
      </c>
      <c r="C18" s="1">
        <v>0</v>
      </c>
      <c r="D18">
        <v>1</v>
      </c>
      <c r="E18" s="1">
        <v>1</v>
      </c>
      <c r="F18">
        <v>1</v>
      </c>
      <c r="G18" s="1">
        <v>0</v>
      </c>
      <c r="H18" s="1">
        <v>1</v>
      </c>
      <c r="I18" s="1">
        <v>1</v>
      </c>
      <c r="J18">
        <f t="shared" si="0"/>
        <v>5</v>
      </c>
      <c r="K18">
        <f t="shared" si="1"/>
        <v>62.5</v>
      </c>
    </row>
    <row r="19" spans="1:11" x14ac:dyDescent="0.3">
      <c r="A19" s="1" t="s">
        <v>18</v>
      </c>
      <c r="B19" s="1">
        <v>0</v>
      </c>
      <c r="C19" s="1">
        <v>1</v>
      </c>
      <c r="D19">
        <v>1</v>
      </c>
      <c r="E19" s="1">
        <v>1</v>
      </c>
      <c r="F19">
        <v>1</v>
      </c>
      <c r="G19" s="1">
        <v>1</v>
      </c>
      <c r="H19" s="1">
        <v>1</v>
      </c>
      <c r="I19" s="1">
        <v>1</v>
      </c>
      <c r="J19">
        <f t="shared" si="0"/>
        <v>7</v>
      </c>
      <c r="K19">
        <f t="shared" si="1"/>
        <v>87.5</v>
      </c>
    </row>
    <row r="20" spans="1:11" ht="16.8" thickBot="1" x14ac:dyDescent="0.35">
      <c r="A20" s="3" t="s">
        <v>19</v>
      </c>
      <c r="B20" s="2">
        <v>0</v>
      </c>
      <c r="C20" s="2">
        <v>1</v>
      </c>
      <c r="D20">
        <v>1</v>
      </c>
      <c r="E20" s="2">
        <v>1</v>
      </c>
      <c r="F20">
        <v>1</v>
      </c>
      <c r="G20" s="2">
        <v>1</v>
      </c>
      <c r="H20" s="2">
        <v>1</v>
      </c>
      <c r="I20" s="2">
        <v>1</v>
      </c>
      <c r="J20">
        <f t="shared" si="0"/>
        <v>7</v>
      </c>
      <c r="K20">
        <f t="shared" si="1"/>
        <v>87.5</v>
      </c>
    </row>
    <row r="21" spans="1:11" x14ac:dyDescent="0.3">
      <c r="A21" s="1" t="s">
        <v>20</v>
      </c>
      <c r="B21" s="1">
        <v>0</v>
      </c>
      <c r="C21" s="1">
        <v>0</v>
      </c>
      <c r="D21">
        <v>1</v>
      </c>
      <c r="E21" s="1">
        <v>1</v>
      </c>
      <c r="F21">
        <v>1</v>
      </c>
      <c r="G21" s="1">
        <v>1</v>
      </c>
      <c r="H21" s="1">
        <v>1</v>
      </c>
      <c r="I21" s="1">
        <v>1</v>
      </c>
      <c r="J21">
        <f t="shared" si="0"/>
        <v>6</v>
      </c>
      <c r="K21">
        <f t="shared" si="1"/>
        <v>75</v>
      </c>
    </row>
    <row r="22" spans="1:11" x14ac:dyDescent="0.3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>
        <v>1</v>
      </c>
      <c r="G22" s="1">
        <v>0</v>
      </c>
      <c r="H22" s="1">
        <v>1</v>
      </c>
      <c r="I22" s="1">
        <v>1</v>
      </c>
      <c r="J22">
        <f t="shared" si="0"/>
        <v>3</v>
      </c>
      <c r="K22">
        <f t="shared" si="1"/>
        <v>37.5</v>
      </c>
    </row>
    <row r="23" spans="1:11" ht="16.8" thickBot="1" x14ac:dyDescent="0.35">
      <c r="A23" s="3" t="s">
        <v>22</v>
      </c>
      <c r="B23" s="2">
        <v>0</v>
      </c>
      <c r="C23" s="2">
        <v>0</v>
      </c>
      <c r="D23" s="2">
        <v>1</v>
      </c>
      <c r="E23" s="2">
        <v>0</v>
      </c>
      <c r="F23" s="4">
        <v>1</v>
      </c>
      <c r="G23" s="2">
        <v>1</v>
      </c>
      <c r="H23" s="2">
        <v>1</v>
      </c>
      <c r="I23" s="2">
        <v>1</v>
      </c>
      <c r="J23">
        <f t="shared" si="0"/>
        <v>5</v>
      </c>
      <c r="K23">
        <f t="shared" si="1"/>
        <v>62.5</v>
      </c>
    </row>
    <row r="24" spans="1:11" x14ac:dyDescent="0.3">
      <c r="A24" s="1" t="s">
        <v>42</v>
      </c>
      <c r="B24">
        <f>SUM(B2:B23)</f>
        <v>1</v>
      </c>
      <c r="C24">
        <f t="shared" ref="C24:I24" si="2">SUM(C2:C23)</f>
        <v>3</v>
      </c>
      <c r="D24">
        <f t="shared" si="2"/>
        <v>21</v>
      </c>
      <c r="E24">
        <f t="shared" si="2"/>
        <v>8</v>
      </c>
      <c r="F24">
        <f t="shared" si="2"/>
        <v>22</v>
      </c>
      <c r="G24">
        <f t="shared" si="2"/>
        <v>7</v>
      </c>
      <c r="H24">
        <f t="shared" si="2"/>
        <v>15</v>
      </c>
      <c r="I24">
        <f t="shared" si="2"/>
        <v>18</v>
      </c>
      <c r="J24">
        <f t="shared" si="0"/>
        <v>95</v>
      </c>
      <c r="K24">
        <f t="shared" si="1"/>
        <v>1187.5</v>
      </c>
    </row>
    <row r="25" spans="1:11" x14ac:dyDescent="0.3">
      <c r="B25" s="1" t="s">
        <v>54</v>
      </c>
      <c r="C25" s="1" t="s">
        <v>55</v>
      </c>
      <c r="D25" s="1" t="s">
        <v>56</v>
      </c>
      <c r="E25" s="1" t="s">
        <v>57</v>
      </c>
      <c r="F25" s="1" t="s">
        <v>58</v>
      </c>
      <c r="G25" s="1" t="s">
        <v>59</v>
      </c>
      <c r="H25" s="1" t="s">
        <v>60</v>
      </c>
      <c r="I25" s="1" t="s">
        <v>61</v>
      </c>
      <c r="J25">
        <f t="shared" si="0"/>
        <v>0</v>
      </c>
      <c r="K25">
        <f t="shared" si="1"/>
        <v>0</v>
      </c>
    </row>
    <row r="26" spans="1:11" x14ac:dyDescent="0.3">
      <c r="B26" s="8">
        <f>B24/22*100</f>
        <v>4.5454545454545459</v>
      </c>
      <c r="C26" s="8">
        <f t="shared" ref="C26:I26" si="3">C24/22*100</f>
        <v>13.636363636363635</v>
      </c>
      <c r="D26" s="8">
        <f t="shared" si="3"/>
        <v>95.454545454545453</v>
      </c>
      <c r="E26" s="8">
        <f t="shared" si="3"/>
        <v>36.363636363636367</v>
      </c>
      <c r="F26" s="8">
        <f t="shared" si="3"/>
        <v>100</v>
      </c>
      <c r="G26" s="8">
        <f t="shared" si="3"/>
        <v>31.818181818181817</v>
      </c>
      <c r="H26" s="8">
        <f t="shared" si="3"/>
        <v>68.181818181818173</v>
      </c>
      <c r="I26" s="8">
        <f t="shared" si="3"/>
        <v>81.818181818181827</v>
      </c>
      <c r="J26">
        <f t="shared" si="0"/>
        <v>431.81818181818181</v>
      </c>
      <c r="K26">
        <f>J26/8</f>
        <v>53.977272727272727</v>
      </c>
    </row>
  </sheetData>
  <phoneticPr fontId="2" type="noConversion"/>
  <hyperlinks>
    <hyperlink ref="F1" r:id="rId1" tooltip="https://rdc28.cwa.gov.tw/TDB/public/typhoon_detail?typhoon_id=201601" display="尼伯特" xr:uid="{64350519-A593-46D8-AF0A-A4EFCB25BF4F}"/>
    <hyperlink ref="G1" r:id="rId2" tooltip="https://rdc28.cwa.gov.tw/TDB/public/typhoon_detail?typhoon_id=201911" display="白鹿" xr:uid="{FB2B157B-18BB-409E-BE35-6B6DB17ABDFA}"/>
    <hyperlink ref="H1" r:id="rId3" tooltip="https://rdc28.cwa.gov.tw/TDB/public/typhoon_detail?typhoon_id=202311" display="海葵" xr:uid="{74129D8D-B1A8-466C-91D7-891A0718AB27}"/>
    <hyperlink ref="I1" r:id="rId4" tooltip="https://rdc28.cwa.gov.tw/TDB/public/typhoon_detail?typhoon_id=202314" display="小犬" xr:uid="{ED17A25C-F95A-4CAF-9FF7-0507586C6AD5}"/>
    <hyperlink ref="F25" r:id="rId5" tooltip="https://rdc28.cwa.gov.tw/TDB/public/typhoon_detail?typhoon_id=201601" xr:uid="{26E06EE8-7628-4CB0-ADB8-C1E3D9A3EE2A}"/>
    <hyperlink ref="G25" r:id="rId6" tooltip="https://rdc28.cwa.gov.tw/TDB/public/typhoon_detail?typhoon_id=201911" xr:uid="{EAC3732E-C367-4732-89D4-911500D0CE45}"/>
    <hyperlink ref="H25" r:id="rId7" tooltip="https://rdc28.cwa.gov.tw/TDB/public/typhoon_detail?typhoon_id=202311" xr:uid="{D428EB2B-6C9D-4A20-B9D8-85B8B5C0111A}"/>
    <hyperlink ref="I25" r:id="rId8" tooltip="https://rdc28.cwa.gov.tw/TDB/public/typhoon_detail?typhoon_id=202314" xr:uid="{020AEE04-AA80-4817-A8EA-E6EC7AB05F0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4D3C-2FE9-4428-B344-A03287FA0D50}">
  <dimension ref="A1:E26"/>
  <sheetViews>
    <sheetView zoomScale="85" zoomScaleNormal="85" workbookViewId="0">
      <selection activeCell="E2" sqref="E2:E23"/>
    </sheetView>
  </sheetViews>
  <sheetFormatPr defaultRowHeight="16.2" x14ac:dyDescent="0.3"/>
  <sheetData>
    <row r="1" spans="1:5" x14ac:dyDescent="0.3">
      <c r="A1" s="1" t="s">
        <v>31</v>
      </c>
      <c r="B1" s="1" t="s">
        <v>119</v>
      </c>
      <c r="C1" s="1" t="s">
        <v>120</v>
      </c>
      <c r="D1" s="1" t="s">
        <v>42</v>
      </c>
      <c r="E1" s="1" t="s">
        <v>81</v>
      </c>
    </row>
    <row r="2" spans="1:5" x14ac:dyDescent="0.3">
      <c r="A2" s="1" t="s">
        <v>1</v>
      </c>
      <c r="B2">
        <v>0</v>
      </c>
      <c r="C2">
        <v>0</v>
      </c>
      <c r="D2">
        <f>SUM(B2:C2)</f>
        <v>0</v>
      </c>
      <c r="E2">
        <f>D2/2*100</f>
        <v>0</v>
      </c>
    </row>
    <row r="3" spans="1:5" x14ac:dyDescent="0.3">
      <c r="A3" s="1" t="s">
        <v>2</v>
      </c>
      <c r="B3">
        <v>0</v>
      </c>
      <c r="C3">
        <v>0</v>
      </c>
      <c r="D3">
        <f t="shared" ref="D3:D26" si="0">SUM(B3:C3)</f>
        <v>0</v>
      </c>
      <c r="E3">
        <f t="shared" ref="E3:E25" si="1">D3/2*100</f>
        <v>0</v>
      </c>
    </row>
    <row r="4" spans="1:5" x14ac:dyDescent="0.3">
      <c r="A4" s="1" t="s">
        <v>3</v>
      </c>
      <c r="B4">
        <v>0</v>
      </c>
      <c r="C4">
        <v>0</v>
      </c>
      <c r="D4">
        <f t="shared" si="0"/>
        <v>0</v>
      </c>
      <c r="E4">
        <f t="shared" si="1"/>
        <v>0</v>
      </c>
    </row>
    <row r="5" spans="1:5" x14ac:dyDescent="0.3">
      <c r="A5" s="1" t="s">
        <v>4</v>
      </c>
      <c r="B5">
        <v>0</v>
      </c>
      <c r="C5">
        <v>0</v>
      </c>
      <c r="D5">
        <f t="shared" si="0"/>
        <v>0</v>
      </c>
      <c r="E5">
        <f t="shared" si="1"/>
        <v>0</v>
      </c>
    </row>
    <row r="6" spans="1:5" x14ac:dyDescent="0.3">
      <c r="A6" s="1" t="s">
        <v>5</v>
      </c>
      <c r="B6">
        <v>0</v>
      </c>
      <c r="C6">
        <v>0</v>
      </c>
      <c r="D6">
        <f t="shared" si="0"/>
        <v>0</v>
      </c>
      <c r="E6">
        <f t="shared" si="1"/>
        <v>0</v>
      </c>
    </row>
    <row r="7" spans="1:5" ht="16.8" thickBot="1" x14ac:dyDescent="0.35">
      <c r="A7" s="3" t="s">
        <v>6</v>
      </c>
      <c r="B7" s="4">
        <v>1</v>
      </c>
      <c r="C7" s="4">
        <v>0</v>
      </c>
      <c r="D7">
        <f t="shared" si="0"/>
        <v>1</v>
      </c>
      <c r="E7">
        <f t="shared" si="1"/>
        <v>50</v>
      </c>
    </row>
    <row r="8" spans="1:5" x14ac:dyDescent="0.3">
      <c r="A8" s="1" t="s">
        <v>7</v>
      </c>
      <c r="B8">
        <v>0</v>
      </c>
      <c r="C8">
        <v>0</v>
      </c>
      <c r="D8">
        <f t="shared" si="0"/>
        <v>0</v>
      </c>
      <c r="E8">
        <f t="shared" si="1"/>
        <v>0</v>
      </c>
    </row>
    <row r="9" spans="1:5" x14ac:dyDescent="0.3">
      <c r="A9" s="1" t="s">
        <v>8</v>
      </c>
      <c r="B9">
        <v>1</v>
      </c>
      <c r="C9">
        <v>0</v>
      </c>
      <c r="D9">
        <f t="shared" si="0"/>
        <v>1</v>
      </c>
      <c r="E9">
        <f t="shared" si="1"/>
        <v>50</v>
      </c>
    </row>
    <row r="10" spans="1:5" x14ac:dyDescent="0.3">
      <c r="A10" s="1" t="s">
        <v>9</v>
      </c>
      <c r="B10">
        <v>1</v>
      </c>
      <c r="C10">
        <v>0</v>
      </c>
      <c r="D10">
        <f t="shared" si="0"/>
        <v>1</v>
      </c>
      <c r="E10">
        <f t="shared" si="1"/>
        <v>50</v>
      </c>
    </row>
    <row r="11" spans="1:5" x14ac:dyDescent="0.3">
      <c r="A11" s="1" t="s">
        <v>10</v>
      </c>
      <c r="B11">
        <v>1</v>
      </c>
      <c r="C11">
        <v>0</v>
      </c>
      <c r="D11">
        <f t="shared" si="0"/>
        <v>1</v>
      </c>
      <c r="E11">
        <f t="shared" si="1"/>
        <v>50</v>
      </c>
    </row>
    <row r="12" spans="1:5" ht="16.8" thickBot="1" x14ac:dyDescent="0.35">
      <c r="A12" s="3" t="s">
        <v>11</v>
      </c>
      <c r="B12" s="4">
        <v>0</v>
      </c>
      <c r="C12" s="4">
        <v>0</v>
      </c>
      <c r="D12">
        <f t="shared" si="0"/>
        <v>0</v>
      </c>
      <c r="E12">
        <f t="shared" si="1"/>
        <v>0</v>
      </c>
    </row>
    <row r="13" spans="1:5" x14ac:dyDescent="0.3">
      <c r="A13" s="1" t="s">
        <v>12</v>
      </c>
      <c r="B13">
        <v>0</v>
      </c>
      <c r="C13">
        <v>0</v>
      </c>
      <c r="D13">
        <f t="shared" si="0"/>
        <v>0</v>
      </c>
      <c r="E13">
        <f t="shared" si="1"/>
        <v>0</v>
      </c>
    </row>
    <row r="14" spans="1:5" x14ac:dyDescent="0.3">
      <c r="A14" s="1" t="s">
        <v>13</v>
      </c>
      <c r="B14">
        <v>1</v>
      </c>
      <c r="C14">
        <v>0</v>
      </c>
      <c r="D14">
        <f t="shared" si="0"/>
        <v>1</v>
      </c>
      <c r="E14">
        <f t="shared" si="1"/>
        <v>50</v>
      </c>
    </row>
    <row r="15" spans="1:5" x14ac:dyDescent="0.3">
      <c r="A15" s="1" t="s">
        <v>14</v>
      </c>
      <c r="B15">
        <v>1</v>
      </c>
      <c r="C15">
        <v>0</v>
      </c>
      <c r="D15">
        <f t="shared" si="0"/>
        <v>1</v>
      </c>
      <c r="E15">
        <f t="shared" si="1"/>
        <v>50</v>
      </c>
    </row>
    <row r="16" spans="1:5" x14ac:dyDescent="0.3">
      <c r="A16" s="1" t="s">
        <v>15</v>
      </c>
      <c r="B16">
        <v>1</v>
      </c>
      <c r="C16">
        <v>0</v>
      </c>
      <c r="D16">
        <f t="shared" si="0"/>
        <v>1</v>
      </c>
      <c r="E16">
        <f t="shared" si="1"/>
        <v>50</v>
      </c>
    </row>
    <row r="17" spans="1:5" x14ac:dyDescent="0.3">
      <c r="A17" s="2" t="s">
        <v>16</v>
      </c>
      <c r="B17" s="4">
        <v>1</v>
      </c>
      <c r="C17" s="4">
        <v>1</v>
      </c>
      <c r="D17">
        <f t="shared" si="0"/>
        <v>2</v>
      </c>
      <c r="E17">
        <f t="shared" si="1"/>
        <v>100</v>
      </c>
    </row>
    <row r="18" spans="1:5" x14ac:dyDescent="0.3">
      <c r="A18" s="1" t="s">
        <v>17</v>
      </c>
      <c r="B18">
        <v>0</v>
      </c>
      <c r="C18">
        <v>0</v>
      </c>
      <c r="D18">
        <f t="shared" si="0"/>
        <v>0</v>
      </c>
      <c r="E18">
        <f t="shared" si="1"/>
        <v>0</v>
      </c>
    </row>
    <row r="19" spans="1:5" x14ac:dyDescent="0.3">
      <c r="A19" s="1" t="s">
        <v>18</v>
      </c>
      <c r="B19">
        <v>1</v>
      </c>
      <c r="C19">
        <v>0</v>
      </c>
      <c r="D19">
        <f t="shared" si="0"/>
        <v>1</v>
      </c>
      <c r="E19">
        <f t="shared" si="1"/>
        <v>50</v>
      </c>
    </row>
    <row r="20" spans="1:5" ht="16.8" thickBot="1" x14ac:dyDescent="0.35">
      <c r="A20" s="3" t="s">
        <v>19</v>
      </c>
      <c r="B20" s="4">
        <v>1</v>
      </c>
      <c r="C20" s="4">
        <v>1</v>
      </c>
      <c r="D20">
        <f t="shared" si="0"/>
        <v>2</v>
      </c>
      <c r="E20">
        <f t="shared" si="1"/>
        <v>100</v>
      </c>
    </row>
    <row r="21" spans="1:5" x14ac:dyDescent="0.3">
      <c r="A21" s="1" t="s">
        <v>20</v>
      </c>
      <c r="B21">
        <v>1</v>
      </c>
      <c r="C21">
        <v>0</v>
      </c>
      <c r="D21">
        <f t="shared" si="0"/>
        <v>1</v>
      </c>
      <c r="E21">
        <f t="shared" si="1"/>
        <v>50</v>
      </c>
    </row>
    <row r="22" spans="1:5" x14ac:dyDescent="0.3">
      <c r="A22" s="1" t="s">
        <v>21</v>
      </c>
      <c r="B22">
        <v>0</v>
      </c>
      <c r="C22">
        <v>0</v>
      </c>
      <c r="D22">
        <f t="shared" si="0"/>
        <v>0</v>
      </c>
      <c r="E22">
        <f t="shared" si="1"/>
        <v>0</v>
      </c>
    </row>
    <row r="23" spans="1:5" ht="16.8" thickBot="1" x14ac:dyDescent="0.35">
      <c r="A23" s="3" t="s">
        <v>22</v>
      </c>
      <c r="B23" s="4">
        <v>1</v>
      </c>
      <c r="C23" s="4">
        <v>0</v>
      </c>
      <c r="D23">
        <f t="shared" si="0"/>
        <v>1</v>
      </c>
      <c r="E23">
        <f t="shared" si="1"/>
        <v>50</v>
      </c>
    </row>
    <row r="24" spans="1:5" x14ac:dyDescent="0.3">
      <c r="A24" s="1" t="s">
        <v>42</v>
      </c>
      <c r="B24">
        <f>SUM(B2:B23)</f>
        <v>12</v>
      </c>
      <c r="C24">
        <f>SUM(C2:C23)</f>
        <v>2</v>
      </c>
      <c r="D24">
        <f t="shared" si="0"/>
        <v>14</v>
      </c>
      <c r="E24">
        <f t="shared" si="1"/>
        <v>700</v>
      </c>
    </row>
    <row r="25" spans="1:5" x14ac:dyDescent="0.3">
      <c r="B25" s="1" t="s">
        <v>62</v>
      </c>
      <c r="C25" s="1" t="s">
        <v>63</v>
      </c>
      <c r="D25">
        <f t="shared" si="0"/>
        <v>0</v>
      </c>
      <c r="E25">
        <f t="shared" si="1"/>
        <v>0</v>
      </c>
    </row>
    <row r="26" spans="1:5" x14ac:dyDescent="0.3">
      <c r="B26" s="8">
        <f>B24/22*100</f>
        <v>54.54545454545454</v>
      </c>
      <c r="C26" s="8">
        <f>C24/22*100</f>
        <v>9.0909090909090917</v>
      </c>
      <c r="D26">
        <f t="shared" si="0"/>
        <v>63.636363636363633</v>
      </c>
      <c r="E26">
        <f>D26/2</f>
        <v>31.818181818181817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A302-6BF5-4719-A5DA-6155E5766B83}">
  <dimension ref="A1:J26"/>
  <sheetViews>
    <sheetView zoomScale="85" zoomScaleNormal="85" workbookViewId="0">
      <selection activeCell="J2" sqref="J2:J23"/>
    </sheetView>
  </sheetViews>
  <sheetFormatPr defaultRowHeight="16.2" x14ac:dyDescent="0.3"/>
  <sheetData>
    <row r="1" spans="1:10" x14ac:dyDescent="0.3">
      <c r="A1" s="1" t="s">
        <v>31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42</v>
      </c>
      <c r="J1" s="1" t="s">
        <v>81</v>
      </c>
    </row>
    <row r="2" spans="1:10" x14ac:dyDescent="0.3">
      <c r="A2" s="1" t="s">
        <v>1</v>
      </c>
      <c r="B2" s="1">
        <v>0</v>
      </c>
      <c r="C2" s="1">
        <v>0</v>
      </c>
      <c r="D2" s="1">
        <v>1</v>
      </c>
      <c r="E2" s="1">
        <v>0</v>
      </c>
      <c r="F2" s="1">
        <v>1</v>
      </c>
      <c r="G2" s="1">
        <v>1</v>
      </c>
      <c r="H2" s="1">
        <v>0</v>
      </c>
      <c r="I2">
        <f>SUM(B2:H2)</f>
        <v>3</v>
      </c>
      <c r="J2">
        <f>I2/7*100</f>
        <v>42.857142857142854</v>
      </c>
    </row>
    <row r="3" spans="1:10" x14ac:dyDescent="0.3">
      <c r="A3" s="1" t="s">
        <v>2</v>
      </c>
      <c r="B3" s="1">
        <v>0</v>
      </c>
      <c r="C3" s="1">
        <v>0</v>
      </c>
      <c r="D3" s="1">
        <v>1</v>
      </c>
      <c r="E3" s="1">
        <v>0</v>
      </c>
      <c r="F3" s="1">
        <v>1</v>
      </c>
      <c r="G3" s="1">
        <v>1</v>
      </c>
      <c r="H3" s="1">
        <v>0</v>
      </c>
      <c r="I3">
        <f t="shared" ref="I3:I26" si="0">SUM(B3:H3)</f>
        <v>3</v>
      </c>
      <c r="J3">
        <f t="shared" ref="J3:J26" si="1">I3/7*100</f>
        <v>42.857142857142854</v>
      </c>
    </row>
    <row r="4" spans="1:10" x14ac:dyDescent="0.3">
      <c r="A4" s="1" t="s">
        <v>3</v>
      </c>
      <c r="B4" s="1">
        <v>0</v>
      </c>
      <c r="C4" s="1">
        <v>0</v>
      </c>
      <c r="D4" s="1">
        <v>1</v>
      </c>
      <c r="E4" s="1">
        <v>0</v>
      </c>
      <c r="F4" s="1">
        <v>1</v>
      </c>
      <c r="G4" s="1">
        <v>1</v>
      </c>
      <c r="H4" s="1">
        <v>1</v>
      </c>
      <c r="I4">
        <f t="shared" si="0"/>
        <v>4</v>
      </c>
      <c r="J4">
        <f t="shared" si="1"/>
        <v>57.142857142857139</v>
      </c>
    </row>
    <row r="5" spans="1:10" x14ac:dyDescent="0.3">
      <c r="A5" s="1" t="s">
        <v>4</v>
      </c>
      <c r="B5" s="1">
        <v>0</v>
      </c>
      <c r="C5" s="1">
        <v>0</v>
      </c>
      <c r="D5" s="1">
        <v>1</v>
      </c>
      <c r="E5" s="1">
        <v>0</v>
      </c>
      <c r="F5" s="1">
        <v>1</v>
      </c>
      <c r="G5" s="1">
        <v>0</v>
      </c>
      <c r="H5" s="1">
        <v>1</v>
      </c>
      <c r="I5">
        <f t="shared" si="0"/>
        <v>3</v>
      </c>
      <c r="J5">
        <f t="shared" si="1"/>
        <v>42.857142857142854</v>
      </c>
    </row>
    <row r="6" spans="1:10" x14ac:dyDescent="0.3">
      <c r="A6" s="1" t="s">
        <v>5</v>
      </c>
      <c r="B6" s="1">
        <v>0</v>
      </c>
      <c r="C6" s="1">
        <v>0</v>
      </c>
      <c r="D6" s="1">
        <v>1</v>
      </c>
      <c r="E6" s="1">
        <v>0</v>
      </c>
      <c r="F6" s="1">
        <v>1</v>
      </c>
      <c r="G6" s="1">
        <v>0</v>
      </c>
      <c r="H6" s="1">
        <v>0</v>
      </c>
      <c r="I6">
        <f t="shared" si="0"/>
        <v>2</v>
      </c>
      <c r="J6">
        <f t="shared" si="1"/>
        <v>28.571428571428569</v>
      </c>
    </row>
    <row r="7" spans="1:10" ht="16.8" thickBot="1" x14ac:dyDescent="0.35">
      <c r="A7" s="3" t="s">
        <v>6</v>
      </c>
      <c r="B7" s="2">
        <v>0</v>
      </c>
      <c r="C7" s="2">
        <v>0</v>
      </c>
      <c r="D7" s="2">
        <v>1</v>
      </c>
      <c r="E7" s="2">
        <v>0</v>
      </c>
      <c r="F7" s="2">
        <v>1</v>
      </c>
      <c r="G7" s="2">
        <v>1</v>
      </c>
      <c r="H7" s="2">
        <v>1</v>
      </c>
      <c r="I7">
        <f t="shared" si="0"/>
        <v>4</v>
      </c>
      <c r="J7">
        <f t="shared" si="1"/>
        <v>57.142857142857139</v>
      </c>
    </row>
    <row r="8" spans="1:10" x14ac:dyDescent="0.3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>
        <f t="shared" si="0"/>
        <v>1</v>
      </c>
      <c r="J8">
        <f t="shared" si="1"/>
        <v>14.285714285714285</v>
      </c>
    </row>
    <row r="9" spans="1:10" x14ac:dyDescent="0.3">
      <c r="A9" s="1" t="s">
        <v>8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>
        <f t="shared" si="0"/>
        <v>2</v>
      </c>
      <c r="J9">
        <f t="shared" si="1"/>
        <v>28.571428571428569</v>
      </c>
    </row>
    <row r="10" spans="1:10" x14ac:dyDescent="0.3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>
        <f t="shared" si="0"/>
        <v>0</v>
      </c>
      <c r="J10">
        <f t="shared" si="1"/>
        <v>0</v>
      </c>
    </row>
    <row r="11" spans="1:10" x14ac:dyDescent="0.3">
      <c r="A11" s="1" t="s">
        <v>10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>
        <f t="shared" si="0"/>
        <v>1</v>
      </c>
      <c r="J11">
        <f t="shared" si="1"/>
        <v>14.285714285714285</v>
      </c>
    </row>
    <row r="12" spans="1:10" ht="16.8" thickBot="1" x14ac:dyDescent="0.35">
      <c r="A12" s="3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>
        <f t="shared" si="0"/>
        <v>0</v>
      </c>
      <c r="J12">
        <f t="shared" si="1"/>
        <v>0</v>
      </c>
    </row>
    <row r="13" spans="1:10" x14ac:dyDescent="0.3">
      <c r="A13" s="1" t="s">
        <v>12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>
        <f t="shared" si="0"/>
        <v>1</v>
      </c>
      <c r="J13">
        <f t="shared" si="1"/>
        <v>14.285714285714285</v>
      </c>
    </row>
    <row r="14" spans="1:10" x14ac:dyDescent="0.3">
      <c r="A14" s="1" t="s">
        <v>13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>
        <f t="shared" si="0"/>
        <v>2</v>
      </c>
      <c r="J14">
        <f t="shared" si="1"/>
        <v>28.571428571428569</v>
      </c>
    </row>
    <row r="15" spans="1:10" x14ac:dyDescent="0.3">
      <c r="A15" s="1" t="s">
        <v>14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>
        <f t="shared" si="0"/>
        <v>1</v>
      </c>
      <c r="J15">
        <f t="shared" si="1"/>
        <v>14.285714285714285</v>
      </c>
    </row>
    <row r="16" spans="1:10" x14ac:dyDescent="0.3">
      <c r="A16" s="1" t="s">
        <v>15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1</v>
      </c>
      <c r="H16" s="1">
        <v>0</v>
      </c>
      <c r="I16">
        <f t="shared" si="0"/>
        <v>2</v>
      </c>
      <c r="J16">
        <f t="shared" si="1"/>
        <v>28.571428571428569</v>
      </c>
    </row>
    <row r="17" spans="1:10" x14ac:dyDescent="0.3">
      <c r="A17" s="2" t="s">
        <v>16</v>
      </c>
      <c r="B17" s="2">
        <v>1</v>
      </c>
      <c r="C17" s="2">
        <v>0</v>
      </c>
      <c r="D17" s="2">
        <v>0</v>
      </c>
      <c r="E17" s="2">
        <v>1</v>
      </c>
      <c r="F17" s="2">
        <v>0</v>
      </c>
      <c r="G17" s="2">
        <v>1</v>
      </c>
      <c r="H17" s="2">
        <v>0</v>
      </c>
      <c r="I17">
        <f t="shared" si="0"/>
        <v>3</v>
      </c>
      <c r="J17">
        <f t="shared" si="1"/>
        <v>42.857142857142854</v>
      </c>
    </row>
    <row r="18" spans="1:10" x14ac:dyDescent="0.3">
      <c r="A18" s="1" t="s">
        <v>17</v>
      </c>
      <c r="B18" s="1">
        <v>0</v>
      </c>
      <c r="C18" s="1">
        <v>0</v>
      </c>
      <c r="D18" s="1">
        <v>1</v>
      </c>
      <c r="E18" s="1">
        <v>1</v>
      </c>
      <c r="F18" s="1">
        <v>1</v>
      </c>
      <c r="G18" s="1">
        <v>1</v>
      </c>
      <c r="H18" s="1">
        <v>0</v>
      </c>
      <c r="I18">
        <f t="shared" si="0"/>
        <v>4</v>
      </c>
      <c r="J18">
        <f t="shared" si="1"/>
        <v>57.142857142857139</v>
      </c>
    </row>
    <row r="19" spans="1:10" x14ac:dyDescent="0.3">
      <c r="A19" s="1" t="s">
        <v>18</v>
      </c>
      <c r="B19" s="1">
        <v>1</v>
      </c>
      <c r="C19" s="1">
        <v>0</v>
      </c>
      <c r="D19" s="1">
        <v>1</v>
      </c>
      <c r="E19" s="1">
        <v>1</v>
      </c>
      <c r="F19" s="1">
        <v>1</v>
      </c>
      <c r="G19" s="1">
        <v>1</v>
      </c>
      <c r="H19" s="1">
        <v>0</v>
      </c>
      <c r="I19">
        <f t="shared" si="0"/>
        <v>5</v>
      </c>
      <c r="J19">
        <f t="shared" si="1"/>
        <v>71.428571428571431</v>
      </c>
    </row>
    <row r="20" spans="1:10" ht="16.8" thickBot="1" x14ac:dyDescent="0.35">
      <c r="A20" s="3" t="s">
        <v>19</v>
      </c>
      <c r="B20" s="2">
        <v>1</v>
      </c>
      <c r="C20" s="2">
        <v>0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>
        <f t="shared" si="0"/>
        <v>6</v>
      </c>
      <c r="J20">
        <f t="shared" si="1"/>
        <v>85.714285714285708</v>
      </c>
    </row>
    <row r="21" spans="1:10" x14ac:dyDescent="0.3">
      <c r="A21" s="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>
        <f t="shared" si="0"/>
        <v>0</v>
      </c>
      <c r="J21">
        <f t="shared" si="1"/>
        <v>0</v>
      </c>
    </row>
    <row r="22" spans="1:10" x14ac:dyDescent="0.3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>
        <f t="shared" si="0"/>
        <v>1</v>
      </c>
      <c r="J22">
        <f t="shared" si="1"/>
        <v>14.285714285714285</v>
      </c>
    </row>
    <row r="23" spans="1:10" ht="16.8" thickBot="1" x14ac:dyDescent="0.35">
      <c r="A23" s="3" t="s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>
        <f t="shared" si="0"/>
        <v>0</v>
      </c>
      <c r="J23">
        <f t="shared" si="1"/>
        <v>0</v>
      </c>
    </row>
    <row r="24" spans="1:10" x14ac:dyDescent="0.3">
      <c r="A24" s="1" t="s">
        <v>42</v>
      </c>
      <c r="B24">
        <f>SUM(B2:B23)</f>
        <v>4</v>
      </c>
      <c r="C24">
        <f t="shared" ref="C24:H24" si="2">SUM(C2:C23)</f>
        <v>0</v>
      </c>
      <c r="D24">
        <f t="shared" si="2"/>
        <v>10</v>
      </c>
      <c r="E24">
        <f t="shared" si="2"/>
        <v>10</v>
      </c>
      <c r="F24">
        <f t="shared" si="2"/>
        <v>11</v>
      </c>
      <c r="G24">
        <f t="shared" si="2"/>
        <v>9</v>
      </c>
      <c r="H24">
        <f t="shared" si="2"/>
        <v>4</v>
      </c>
      <c r="I24">
        <f t="shared" si="0"/>
        <v>48</v>
      </c>
      <c r="J24">
        <f t="shared" si="1"/>
        <v>685.71428571428567</v>
      </c>
    </row>
    <row r="25" spans="1:10" x14ac:dyDescent="0.3">
      <c r="B25" s="1" t="s">
        <v>64</v>
      </c>
      <c r="C25" s="1" t="s">
        <v>65</v>
      </c>
      <c r="D25" s="1" t="s">
        <v>66</v>
      </c>
      <c r="E25" s="1" t="s">
        <v>67</v>
      </c>
      <c r="F25" s="1" t="s">
        <v>68</v>
      </c>
      <c r="G25" s="1" t="s">
        <v>69</v>
      </c>
      <c r="H25" s="1" t="s">
        <v>70</v>
      </c>
      <c r="I25">
        <f>SUM(B25:H25)</f>
        <v>0</v>
      </c>
      <c r="J25">
        <f t="shared" si="1"/>
        <v>0</v>
      </c>
    </row>
    <row r="26" spans="1:10" x14ac:dyDescent="0.3">
      <c r="B26" s="8">
        <f>B24/22*100</f>
        <v>18.181818181818183</v>
      </c>
      <c r="C26" s="8">
        <f t="shared" ref="C26:H26" si="3">C24/22*100</f>
        <v>0</v>
      </c>
      <c r="D26" s="8">
        <f>D24/22*100</f>
        <v>45.454545454545453</v>
      </c>
      <c r="E26" s="8">
        <f t="shared" si="3"/>
        <v>45.454545454545453</v>
      </c>
      <c r="F26" s="8">
        <f t="shared" si="3"/>
        <v>50</v>
      </c>
      <c r="G26" s="8">
        <f t="shared" si="3"/>
        <v>40.909090909090914</v>
      </c>
      <c r="H26" s="8">
        <f t="shared" si="3"/>
        <v>18.181818181818183</v>
      </c>
      <c r="I26">
        <f t="shared" si="0"/>
        <v>218.18181818181819</v>
      </c>
      <c r="J26">
        <f>I26/7</f>
        <v>31.168831168831169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AB94-A372-4363-96C9-7C952D229E06}">
  <dimension ref="A1:G26"/>
  <sheetViews>
    <sheetView zoomScale="85" zoomScaleNormal="85" workbookViewId="0">
      <selection activeCell="G2" sqref="G2:G23"/>
    </sheetView>
  </sheetViews>
  <sheetFormatPr defaultRowHeight="16.2" x14ac:dyDescent="0.3"/>
  <sheetData>
    <row r="1" spans="1:7" x14ac:dyDescent="0.3">
      <c r="A1" s="1" t="s">
        <v>31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42</v>
      </c>
      <c r="G1" s="1" t="s">
        <v>81</v>
      </c>
    </row>
    <row r="2" spans="1:7" x14ac:dyDescent="0.3">
      <c r="A2" s="1" t="s">
        <v>1</v>
      </c>
      <c r="B2" s="1">
        <v>0</v>
      </c>
      <c r="C2" s="1">
        <v>1</v>
      </c>
      <c r="D2" s="1">
        <v>0</v>
      </c>
      <c r="E2" s="1">
        <v>1</v>
      </c>
      <c r="F2">
        <f>SUM(B2:E2)</f>
        <v>2</v>
      </c>
      <c r="G2">
        <f>F2/4*100</f>
        <v>50</v>
      </c>
    </row>
    <row r="3" spans="1:7" x14ac:dyDescent="0.3">
      <c r="A3" s="1" t="s">
        <v>2</v>
      </c>
      <c r="B3" s="1">
        <v>0</v>
      </c>
      <c r="C3" s="1">
        <v>1</v>
      </c>
      <c r="D3" s="1">
        <v>0</v>
      </c>
      <c r="E3" s="1">
        <v>1</v>
      </c>
      <c r="F3">
        <f t="shared" ref="F3:F26" si="0">SUM(B3:E3)</f>
        <v>2</v>
      </c>
      <c r="G3">
        <f t="shared" ref="G3:G26" si="1">F3/4*100</f>
        <v>50</v>
      </c>
    </row>
    <row r="4" spans="1:7" x14ac:dyDescent="0.3">
      <c r="A4" s="1" t="s">
        <v>3</v>
      </c>
      <c r="B4" s="1">
        <v>0</v>
      </c>
      <c r="C4" s="1">
        <v>1</v>
      </c>
      <c r="D4" s="1">
        <v>0</v>
      </c>
      <c r="E4" s="1">
        <v>1</v>
      </c>
      <c r="F4">
        <f t="shared" si="0"/>
        <v>2</v>
      </c>
      <c r="G4">
        <f t="shared" si="1"/>
        <v>50</v>
      </c>
    </row>
    <row r="5" spans="1:7" x14ac:dyDescent="0.3">
      <c r="A5" s="1" t="s">
        <v>4</v>
      </c>
      <c r="B5" s="1">
        <v>0</v>
      </c>
      <c r="C5" s="1">
        <v>1</v>
      </c>
      <c r="D5" s="1">
        <v>0</v>
      </c>
      <c r="E5" s="1">
        <v>1</v>
      </c>
      <c r="F5">
        <f t="shared" si="0"/>
        <v>2</v>
      </c>
      <c r="G5">
        <f t="shared" si="1"/>
        <v>50</v>
      </c>
    </row>
    <row r="6" spans="1:7" x14ac:dyDescent="0.3">
      <c r="A6" s="1" t="s">
        <v>5</v>
      </c>
      <c r="B6" s="1">
        <v>0</v>
      </c>
      <c r="C6" s="1">
        <v>1</v>
      </c>
      <c r="D6" s="1">
        <v>0</v>
      </c>
      <c r="E6" s="1">
        <v>1</v>
      </c>
      <c r="F6">
        <f t="shared" si="0"/>
        <v>2</v>
      </c>
      <c r="G6">
        <f t="shared" si="1"/>
        <v>50</v>
      </c>
    </row>
    <row r="7" spans="1:7" ht="16.8" thickBot="1" x14ac:dyDescent="0.35">
      <c r="A7" s="3" t="s">
        <v>6</v>
      </c>
      <c r="B7" s="2">
        <v>0</v>
      </c>
      <c r="C7" s="2">
        <v>1</v>
      </c>
      <c r="D7" s="2">
        <v>0</v>
      </c>
      <c r="E7" s="2">
        <v>1</v>
      </c>
      <c r="F7">
        <f t="shared" si="0"/>
        <v>2</v>
      </c>
      <c r="G7">
        <f t="shared" si="1"/>
        <v>50</v>
      </c>
    </row>
    <row r="8" spans="1:7" x14ac:dyDescent="0.3">
      <c r="A8" s="1" t="s">
        <v>7</v>
      </c>
      <c r="B8" s="1">
        <v>0</v>
      </c>
      <c r="C8" s="1">
        <v>1</v>
      </c>
      <c r="D8" s="1">
        <v>0</v>
      </c>
      <c r="E8" s="1">
        <v>1</v>
      </c>
      <c r="F8">
        <f t="shared" si="0"/>
        <v>2</v>
      </c>
      <c r="G8">
        <f t="shared" si="1"/>
        <v>50</v>
      </c>
    </row>
    <row r="9" spans="1:7" x14ac:dyDescent="0.3">
      <c r="A9" s="1" t="s">
        <v>8</v>
      </c>
      <c r="B9" s="1">
        <v>0</v>
      </c>
      <c r="C9" s="1">
        <v>1</v>
      </c>
      <c r="D9" s="1">
        <v>0</v>
      </c>
      <c r="E9" s="1">
        <v>1</v>
      </c>
      <c r="F9">
        <f t="shared" si="0"/>
        <v>2</v>
      </c>
      <c r="G9">
        <f t="shared" si="1"/>
        <v>50</v>
      </c>
    </row>
    <row r="10" spans="1:7" x14ac:dyDescent="0.3">
      <c r="A10" s="1" t="s">
        <v>9</v>
      </c>
      <c r="B10" s="1">
        <v>0</v>
      </c>
      <c r="C10" s="1">
        <v>1</v>
      </c>
      <c r="D10" s="1">
        <v>0</v>
      </c>
      <c r="E10" s="1">
        <v>1</v>
      </c>
      <c r="F10">
        <f t="shared" si="0"/>
        <v>2</v>
      </c>
      <c r="G10">
        <f t="shared" si="1"/>
        <v>50</v>
      </c>
    </row>
    <row r="11" spans="1:7" x14ac:dyDescent="0.3">
      <c r="A11" s="1" t="s">
        <v>10</v>
      </c>
      <c r="B11" s="1">
        <v>0</v>
      </c>
      <c r="C11" s="1">
        <v>1</v>
      </c>
      <c r="D11" s="1">
        <v>1</v>
      </c>
      <c r="E11" s="1">
        <v>1</v>
      </c>
      <c r="F11">
        <f t="shared" si="0"/>
        <v>3</v>
      </c>
      <c r="G11">
        <f t="shared" si="1"/>
        <v>75</v>
      </c>
    </row>
    <row r="12" spans="1:7" ht="16.8" thickBot="1" x14ac:dyDescent="0.35">
      <c r="A12" s="3" t="s">
        <v>11</v>
      </c>
      <c r="B12" s="2">
        <v>1</v>
      </c>
      <c r="C12" s="2">
        <v>1</v>
      </c>
      <c r="D12" s="2">
        <v>0</v>
      </c>
      <c r="E12" s="2">
        <v>1</v>
      </c>
      <c r="F12">
        <f t="shared" si="0"/>
        <v>3</v>
      </c>
      <c r="G12">
        <f t="shared" si="1"/>
        <v>75</v>
      </c>
    </row>
    <row r="13" spans="1:7" x14ac:dyDescent="0.3">
      <c r="A13" s="1" t="s">
        <v>12</v>
      </c>
      <c r="B13" s="1">
        <v>0</v>
      </c>
      <c r="C13" s="1">
        <v>1</v>
      </c>
      <c r="D13" s="1">
        <v>1</v>
      </c>
      <c r="E13" s="1">
        <v>1</v>
      </c>
      <c r="F13">
        <f t="shared" si="0"/>
        <v>3</v>
      </c>
      <c r="G13">
        <f t="shared" si="1"/>
        <v>75</v>
      </c>
    </row>
    <row r="14" spans="1:7" x14ac:dyDescent="0.3">
      <c r="A14" s="1" t="s">
        <v>13</v>
      </c>
      <c r="B14" s="1">
        <v>0</v>
      </c>
      <c r="C14" s="1">
        <v>1</v>
      </c>
      <c r="D14" s="1">
        <v>1</v>
      </c>
      <c r="E14" s="1">
        <v>1</v>
      </c>
      <c r="F14">
        <f t="shared" si="0"/>
        <v>3</v>
      </c>
      <c r="G14">
        <f t="shared" si="1"/>
        <v>75</v>
      </c>
    </row>
    <row r="15" spans="1:7" x14ac:dyDescent="0.3">
      <c r="A15" s="1" t="s">
        <v>14</v>
      </c>
      <c r="B15" s="1">
        <v>1</v>
      </c>
      <c r="C15" s="1">
        <v>1</v>
      </c>
      <c r="D15" s="1">
        <v>1</v>
      </c>
      <c r="E15" s="1">
        <v>1</v>
      </c>
      <c r="F15">
        <f t="shared" si="0"/>
        <v>4</v>
      </c>
      <c r="G15">
        <f t="shared" si="1"/>
        <v>100</v>
      </c>
    </row>
    <row r="16" spans="1:7" x14ac:dyDescent="0.3">
      <c r="A16" s="1" t="s">
        <v>15</v>
      </c>
      <c r="B16" s="1">
        <v>1</v>
      </c>
      <c r="C16" s="1">
        <v>1</v>
      </c>
      <c r="D16" s="1">
        <v>1</v>
      </c>
      <c r="E16" s="1">
        <v>1</v>
      </c>
      <c r="F16">
        <f t="shared" si="0"/>
        <v>4</v>
      </c>
      <c r="G16">
        <f t="shared" si="1"/>
        <v>100</v>
      </c>
    </row>
    <row r="17" spans="1:7" x14ac:dyDescent="0.3">
      <c r="A17" s="2" t="s">
        <v>16</v>
      </c>
      <c r="B17" s="2">
        <v>1</v>
      </c>
      <c r="C17" s="2">
        <v>1</v>
      </c>
      <c r="D17" s="2">
        <v>1</v>
      </c>
      <c r="E17" s="2">
        <v>1</v>
      </c>
      <c r="F17">
        <f t="shared" si="0"/>
        <v>4</v>
      </c>
      <c r="G17">
        <f t="shared" si="1"/>
        <v>100</v>
      </c>
    </row>
    <row r="18" spans="1:7" x14ac:dyDescent="0.3">
      <c r="A18" s="1" t="s">
        <v>17</v>
      </c>
      <c r="B18" s="1">
        <v>0</v>
      </c>
      <c r="C18" s="1">
        <v>1</v>
      </c>
      <c r="D18" s="1">
        <v>0</v>
      </c>
      <c r="E18" s="1">
        <v>1</v>
      </c>
      <c r="F18">
        <f t="shared" si="0"/>
        <v>2</v>
      </c>
      <c r="G18">
        <f t="shared" si="1"/>
        <v>50</v>
      </c>
    </row>
    <row r="19" spans="1:7" x14ac:dyDescent="0.3">
      <c r="A19" s="1" t="s">
        <v>18</v>
      </c>
      <c r="B19" s="1">
        <v>1</v>
      </c>
      <c r="C19" s="1">
        <v>1</v>
      </c>
      <c r="D19" s="1">
        <v>1</v>
      </c>
      <c r="E19" s="1">
        <v>1</v>
      </c>
      <c r="F19">
        <f t="shared" si="0"/>
        <v>4</v>
      </c>
      <c r="G19">
        <f t="shared" si="1"/>
        <v>100</v>
      </c>
    </row>
    <row r="20" spans="1:7" ht="16.8" thickBot="1" x14ac:dyDescent="0.35">
      <c r="A20" s="3" t="s">
        <v>19</v>
      </c>
      <c r="B20" s="2">
        <v>1</v>
      </c>
      <c r="C20" s="2">
        <v>1</v>
      </c>
      <c r="D20" s="2">
        <v>1</v>
      </c>
      <c r="E20" s="2">
        <v>1</v>
      </c>
      <c r="F20">
        <f t="shared" si="0"/>
        <v>4</v>
      </c>
      <c r="G20">
        <f t="shared" si="1"/>
        <v>100</v>
      </c>
    </row>
    <row r="21" spans="1:7" x14ac:dyDescent="0.3">
      <c r="A21" s="1" t="s">
        <v>20</v>
      </c>
      <c r="B21" s="1">
        <v>1</v>
      </c>
      <c r="C21" s="1">
        <v>1</v>
      </c>
      <c r="D21" s="1">
        <v>1</v>
      </c>
      <c r="E21" s="1">
        <v>1</v>
      </c>
      <c r="F21">
        <f t="shared" si="0"/>
        <v>4</v>
      </c>
      <c r="G21">
        <f t="shared" si="1"/>
        <v>100</v>
      </c>
    </row>
    <row r="22" spans="1:7" x14ac:dyDescent="0.3">
      <c r="A22" s="1" t="s">
        <v>21</v>
      </c>
      <c r="B22" s="1">
        <v>0</v>
      </c>
      <c r="C22" s="1">
        <v>1</v>
      </c>
      <c r="D22" s="1">
        <v>0</v>
      </c>
      <c r="E22" s="1">
        <v>1</v>
      </c>
      <c r="F22">
        <f t="shared" si="0"/>
        <v>2</v>
      </c>
      <c r="G22">
        <f t="shared" si="1"/>
        <v>50</v>
      </c>
    </row>
    <row r="23" spans="1:7" ht="16.8" thickBot="1" x14ac:dyDescent="0.35">
      <c r="A23" s="3" t="s">
        <v>22</v>
      </c>
      <c r="B23" s="2">
        <v>1</v>
      </c>
      <c r="C23" s="2">
        <v>1</v>
      </c>
      <c r="D23" s="2">
        <v>1</v>
      </c>
      <c r="E23" s="2">
        <v>1</v>
      </c>
      <c r="F23">
        <f t="shared" si="0"/>
        <v>4</v>
      </c>
      <c r="G23">
        <f t="shared" si="1"/>
        <v>100</v>
      </c>
    </row>
    <row r="24" spans="1:7" x14ac:dyDescent="0.3">
      <c r="A24" s="1" t="s">
        <v>42</v>
      </c>
      <c r="B24">
        <f>SUM(B2:B23)</f>
        <v>8</v>
      </c>
      <c r="C24">
        <f t="shared" ref="C24:E24" si="2">SUM(C2:C23)</f>
        <v>22</v>
      </c>
      <c r="D24">
        <f t="shared" si="2"/>
        <v>10</v>
      </c>
      <c r="E24">
        <f t="shared" si="2"/>
        <v>22</v>
      </c>
      <c r="F24">
        <f t="shared" si="0"/>
        <v>62</v>
      </c>
      <c r="G24">
        <f t="shared" si="1"/>
        <v>1550</v>
      </c>
    </row>
    <row r="25" spans="1:7" x14ac:dyDescent="0.3">
      <c r="B25" s="1" t="s">
        <v>71</v>
      </c>
      <c r="C25" s="1" t="s">
        <v>72</v>
      </c>
      <c r="D25" s="1" t="s">
        <v>73</v>
      </c>
      <c r="E25" s="1" t="s">
        <v>74</v>
      </c>
      <c r="F25">
        <f>SUM(B25:E25)</f>
        <v>0</v>
      </c>
      <c r="G25">
        <f t="shared" si="1"/>
        <v>0</v>
      </c>
    </row>
    <row r="26" spans="1:7" x14ac:dyDescent="0.3">
      <c r="B26" s="8">
        <f>B24/22*100</f>
        <v>36.363636363636367</v>
      </c>
      <c r="C26" s="8">
        <f t="shared" ref="C26:E26" si="3">C24/22*100</f>
        <v>100</v>
      </c>
      <c r="D26" s="8">
        <f t="shared" si="3"/>
        <v>45.454545454545453</v>
      </c>
      <c r="E26" s="8">
        <f t="shared" si="3"/>
        <v>100</v>
      </c>
      <c r="F26">
        <f t="shared" si="0"/>
        <v>281.81818181818181</v>
      </c>
      <c r="G26">
        <f>F26/4</f>
        <v>70.454545454545453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72CD-10F0-40C1-BA6A-12D333D590E9}">
  <dimension ref="A1:I26"/>
  <sheetViews>
    <sheetView zoomScale="85" zoomScaleNormal="85" workbookViewId="0">
      <selection activeCell="I2" sqref="I2:I23"/>
    </sheetView>
  </sheetViews>
  <sheetFormatPr defaultRowHeight="16.2" x14ac:dyDescent="0.3"/>
  <sheetData>
    <row r="1" spans="1:9" x14ac:dyDescent="0.3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42</v>
      </c>
      <c r="I1" s="1" t="s">
        <v>81</v>
      </c>
    </row>
    <row r="2" spans="1:9" x14ac:dyDescent="0.3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>
        <f>SUM(B2:G2)</f>
        <v>1</v>
      </c>
      <c r="I2">
        <f>H2/6*100</f>
        <v>16.666666666666664</v>
      </c>
    </row>
    <row r="3" spans="1:9" x14ac:dyDescent="0.3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>
        <f t="shared" ref="H3:H26" si="0">SUM(B3:G3)</f>
        <v>1</v>
      </c>
      <c r="I3">
        <f t="shared" ref="I3:I26" si="1">H3/6*100</f>
        <v>16.666666666666664</v>
      </c>
    </row>
    <row r="4" spans="1:9" x14ac:dyDescent="0.3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>
        <f t="shared" si="0"/>
        <v>2</v>
      </c>
      <c r="I4">
        <f t="shared" si="1"/>
        <v>33.333333333333329</v>
      </c>
    </row>
    <row r="5" spans="1:9" x14ac:dyDescent="0.3">
      <c r="A5" s="1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>
        <f t="shared" si="0"/>
        <v>1</v>
      </c>
      <c r="I5">
        <f t="shared" si="1"/>
        <v>16.666666666666664</v>
      </c>
    </row>
    <row r="6" spans="1:9" x14ac:dyDescent="0.3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>
        <f t="shared" si="0"/>
        <v>1</v>
      </c>
      <c r="I6">
        <f t="shared" si="1"/>
        <v>16.666666666666664</v>
      </c>
    </row>
    <row r="7" spans="1:9" ht="16.8" thickBot="1" x14ac:dyDescent="0.35">
      <c r="A7" s="3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>
        <f t="shared" si="0"/>
        <v>1</v>
      </c>
      <c r="I7">
        <f t="shared" si="1"/>
        <v>16.666666666666664</v>
      </c>
    </row>
    <row r="8" spans="1:9" x14ac:dyDescent="0.3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>
        <f t="shared" si="0"/>
        <v>1</v>
      </c>
      <c r="I8">
        <f t="shared" si="1"/>
        <v>16.666666666666664</v>
      </c>
    </row>
    <row r="9" spans="1:9" x14ac:dyDescent="0.3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>
        <f t="shared" si="0"/>
        <v>1</v>
      </c>
      <c r="I9">
        <f t="shared" si="1"/>
        <v>16.666666666666664</v>
      </c>
    </row>
    <row r="10" spans="1:9" x14ac:dyDescent="0.3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>
        <f t="shared" si="0"/>
        <v>1</v>
      </c>
      <c r="I10">
        <f t="shared" si="1"/>
        <v>16.666666666666664</v>
      </c>
    </row>
    <row r="11" spans="1:9" x14ac:dyDescent="0.3">
      <c r="A11" s="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>
        <f t="shared" si="0"/>
        <v>1</v>
      </c>
      <c r="I11">
        <f t="shared" si="1"/>
        <v>16.666666666666664</v>
      </c>
    </row>
    <row r="12" spans="1:9" ht="16.8" thickBot="1" x14ac:dyDescent="0.35">
      <c r="A12" s="3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>
        <f t="shared" si="0"/>
        <v>1</v>
      </c>
      <c r="I12">
        <f t="shared" si="1"/>
        <v>16.666666666666664</v>
      </c>
    </row>
    <row r="13" spans="1:9" x14ac:dyDescent="0.3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>
        <f t="shared" si="0"/>
        <v>1</v>
      </c>
      <c r="I13">
        <f t="shared" si="1"/>
        <v>16.666666666666664</v>
      </c>
    </row>
    <row r="14" spans="1:9" x14ac:dyDescent="0.3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>
        <f t="shared" si="0"/>
        <v>1</v>
      </c>
      <c r="I14">
        <f t="shared" si="1"/>
        <v>16.666666666666664</v>
      </c>
    </row>
    <row r="15" spans="1:9" x14ac:dyDescent="0.3">
      <c r="A15" s="1" t="s">
        <v>14</v>
      </c>
      <c r="B15" s="1">
        <v>0</v>
      </c>
      <c r="C15" s="1">
        <v>0</v>
      </c>
      <c r="D15" s="1">
        <v>0</v>
      </c>
      <c r="E15" s="1">
        <v>1</v>
      </c>
      <c r="F15" s="1">
        <v>1</v>
      </c>
      <c r="G15" s="1">
        <v>1</v>
      </c>
      <c r="H15">
        <f t="shared" si="0"/>
        <v>3</v>
      </c>
      <c r="I15">
        <f t="shared" si="1"/>
        <v>50</v>
      </c>
    </row>
    <row r="16" spans="1:9" x14ac:dyDescent="0.3">
      <c r="A16" s="1" t="s">
        <v>15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>
        <f t="shared" si="0"/>
        <v>3</v>
      </c>
      <c r="I16">
        <f t="shared" si="1"/>
        <v>50</v>
      </c>
    </row>
    <row r="17" spans="1:9" x14ac:dyDescent="0.3">
      <c r="A17" s="2" t="s">
        <v>16</v>
      </c>
      <c r="B17" s="2">
        <v>1</v>
      </c>
      <c r="C17" s="2">
        <v>0</v>
      </c>
      <c r="D17" s="2">
        <v>0</v>
      </c>
      <c r="E17" s="2">
        <v>1</v>
      </c>
      <c r="F17" s="2">
        <v>1</v>
      </c>
      <c r="G17" s="2">
        <v>1</v>
      </c>
      <c r="H17">
        <f t="shared" si="0"/>
        <v>4</v>
      </c>
      <c r="I17">
        <f t="shared" si="1"/>
        <v>66.666666666666657</v>
      </c>
    </row>
    <row r="18" spans="1:9" x14ac:dyDescent="0.3">
      <c r="A18" s="1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1</v>
      </c>
      <c r="H18">
        <f t="shared" si="0"/>
        <v>2</v>
      </c>
      <c r="I18">
        <f t="shared" si="1"/>
        <v>33.333333333333329</v>
      </c>
    </row>
    <row r="19" spans="1:9" x14ac:dyDescent="0.3">
      <c r="A19" s="1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>
        <f t="shared" si="0"/>
        <v>1</v>
      </c>
      <c r="I19">
        <f t="shared" si="1"/>
        <v>16.666666666666664</v>
      </c>
    </row>
    <row r="20" spans="1:9" ht="16.8" thickBot="1" x14ac:dyDescent="0.35">
      <c r="A20" s="3" t="s">
        <v>19</v>
      </c>
      <c r="B20" s="2">
        <v>1</v>
      </c>
      <c r="C20" s="2">
        <v>0</v>
      </c>
      <c r="D20" s="2">
        <v>0</v>
      </c>
      <c r="E20" s="2">
        <v>1</v>
      </c>
      <c r="F20" s="2">
        <v>1</v>
      </c>
      <c r="G20" s="2">
        <v>1</v>
      </c>
      <c r="H20">
        <f t="shared" si="0"/>
        <v>4</v>
      </c>
      <c r="I20">
        <f t="shared" si="1"/>
        <v>66.666666666666657</v>
      </c>
    </row>
    <row r="21" spans="1:9" x14ac:dyDescent="0.3">
      <c r="A21" s="1" t="s">
        <v>20</v>
      </c>
      <c r="B21" s="1">
        <v>0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>
        <f t="shared" si="0"/>
        <v>5</v>
      </c>
      <c r="I21">
        <f t="shared" si="1"/>
        <v>83.333333333333343</v>
      </c>
    </row>
    <row r="22" spans="1:9" x14ac:dyDescent="0.3">
      <c r="A22" s="1" t="s">
        <v>21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1</v>
      </c>
      <c r="H22">
        <f t="shared" si="0"/>
        <v>2</v>
      </c>
      <c r="I22">
        <f t="shared" si="1"/>
        <v>33.333333333333329</v>
      </c>
    </row>
    <row r="23" spans="1:9" ht="16.8" thickBot="1" x14ac:dyDescent="0.35">
      <c r="A23" s="3" t="s">
        <v>22</v>
      </c>
      <c r="B23" s="2">
        <v>0</v>
      </c>
      <c r="C23" s="2">
        <v>1</v>
      </c>
      <c r="D23" s="2">
        <v>1</v>
      </c>
      <c r="E23" s="2">
        <v>0</v>
      </c>
      <c r="F23" s="2">
        <v>1</v>
      </c>
      <c r="G23" s="2">
        <v>1</v>
      </c>
      <c r="H23">
        <f t="shared" si="0"/>
        <v>4</v>
      </c>
      <c r="I23">
        <f t="shared" si="1"/>
        <v>66.666666666666657</v>
      </c>
    </row>
    <row r="24" spans="1:9" x14ac:dyDescent="0.3">
      <c r="A24" s="1" t="s">
        <v>42</v>
      </c>
      <c r="B24">
        <f>SUM(B2:B23)</f>
        <v>2</v>
      </c>
      <c r="C24">
        <f t="shared" ref="C24:G24" si="2">SUM(C2:C23)</f>
        <v>3</v>
      </c>
      <c r="D24">
        <f t="shared" si="2"/>
        <v>2</v>
      </c>
      <c r="E24">
        <f t="shared" si="2"/>
        <v>5</v>
      </c>
      <c r="F24">
        <f t="shared" si="2"/>
        <v>8</v>
      </c>
      <c r="G24">
        <f t="shared" si="2"/>
        <v>22</v>
      </c>
      <c r="H24">
        <f t="shared" si="0"/>
        <v>42</v>
      </c>
      <c r="I24">
        <f t="shared" si="1"/>
        <v>700</v>
      </c>
    </row>
    <row r="25" spans="1:9" x14ac:dyDescent="0.3">
      <c r="B25" s="1" t="s">
        <v>75</v>
      </c>
      <c r="C25" s="1" t="s">
        <v>76</v>
      </c>
      <c r="D25" s="1" t="s">
        <v>77</v>
      </c>
      <c r="E25" s="1" t="s">
        <v>78</v>
      </c>
      <c r="F25" s="1" t="s">
        <v>79</v>
      </c>
      <c r="G25" s="1" t="s">
        <v>80</v>
      </c>
      <c r="H25">
        <f t="shared" si="0"/>
        <v>0</v>
      </c>
      <c r="I25">
        <f t="shared" si="1"/>
        <v>0</v>
      </c>
    </row>
    <row r="26" spans="1:9" x14ac:dyDescent="0.3">
      <c r="B26" s="8">
        <f>B24/22*100</f>
        <v>9.0909090909090917</v>
      </c>
      <c r="C26" s="8">
        <f t="shared" ref="C26:F26" si="3">C24/22*100</f>
        <v>13.636363636363635</v>
      </c>
      <c r="D26" s="8">
        <f t="shared" si="3"/>
        <v>9.0909090909090917</v>
      </c>
      <c r="E26" s="8">
        <f t="shared" si="3"/>
        <v>22.727272727272727</v>
      </c>
      <c r="F26" s="8">
        <f t="shared" si="3"/>
        <v>36.363636363636367</v>
      </c>
      <c r="G26" s="8">
        <f>G24/22*100</f>
        <v>100</v>
      </c>
      <c r="H26">
        <f t="shared" si="0"/>
        <v>190.90909090909091</v>
      </c>
      <c r="I26">
        <f>H26/6</f>
        <v>31.818181818181817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163A-3655-4DD5-89D7-7EF2706C9F3E}">
  <dimension ref="A1:I23"/>
  <sheetViews>
    <sheetView tabSelected="1" workbookViewId="0">
      <selection activeCell="C7" sqref="C7"/>
    </sheetView>
  </sheetViews>
  <sheetFormatPr defaultRowHeight="16.2" x14ac:dyDescent="0.3"/>
  <sheetData>
    <row r="1" spans="1:9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9</v>
      </c>
    </row>
    <row r="2" spans="1:9" x14ac:dyDescent="0.3">
      <c r="A2" s="1" t="s">
        <v>1</v>
      </c>
      <c r="B2">
        <v>71.428571428571431</v>
      </c>
      <c r="C2">
        <v>90</v>
      </c>
      <c r="D2">
        <v>75</v>
      </c>
      <c r="E2">
        <v>25</v>
      </c>
      <c r="F2">
        <v>0</v>
      </c>
      <c r="G2">
        <v>42.857142857142854</v>
      </c>
      <c r="H2">
        <v>50</v>
      </c>
      <c r="I2">
        <v>16.666666666666664</v>
      </c>
    </row>
    <row r="3" spans="1:9" x14ac:dyDescent="0.3">
      <c r="A3" s="1" t="s">
        <v>2</v>
      </c>
      <c r="B3">
        <v>71.428571428571431</v>
      </c>
      <c r="C3">
        <v>80</v>
      </c>
      <c r="D3">
        <v>75</v>
      </c>
      <c r="E3">
        <v>25</v>
      </c>
      <c r="F3">
        <v>0</v>
      </c>
      <c r="G3">
        <v>42.857142857142854</v>
      </c>
      <c r="H3">
        <v>50</v>
      </c>
      <c r="I3">
        <v>16.666666666666664</v>
      </c>
    </row>
    <row r="4" spans="1:9" x14ac:dyDescent="0.3">
      <c r="A4" s="1" t="s">
        <v>3</v>
      </c>
      <c r="B4">
        <v>71.428571428571431</v>
      </c>
      <c r="C4">
        <v>80</v>
      </c>
      <c r="D4">
        <v>75</v>
      </c>
      <c r="E4">
        <v>25</v>
      </c>
      <c r="F4">
        <v>0</v>
      </c>
      <c r="G4">
        <v>57.142857142857139</v>
      </c>
      <c r="H4">
        <v>50</v>
      </c>
      <c r="I4">
        <v>33.333333333333329</v>
      </c>
    </row>
    <row r="5" spans="1:9" x14ac:dyDescent="0.3">
      <c r="A5" s="1" t="s">
        <v>4</v>
      </c>
      <c r="B5">
        <v>71.428571428571431</v>
      </c>
      <c r="C5">
        <v>80</v>
      </c>
      <c r="D5">
        <v>75</v>
      </c>
      <c r="E5">
        <v>25</v>
      </c>
      <c r="F5">
        <v>0</v>
      </c>
      <c r="G5">
        <v>42.857142857142854</v>
      </c>
      <c r="H5">
        <v>50</v>
      </c>
      <c r="I5">
        <v>16.666666666666664</v>
      </c>
    </row>
    <row r="6" spans="1:9" x14ac:dyDescent="0.3">
      <c r="A6" s="1" t="s">
        <v>5</v>
      </c>
      <c r="B6">
        <v>71.428571428571431</v>
      </c>
      <c r="C6">
        <v>80</v>
      </c>
      <c r="D6">
        <v>75</v>
      </c>
      <c r="E6">
        <v>37.5</v>
      </c>
      <c r="F6">
        <v>0</v>
      </c>
      <c r="G6">
        <v>28.571428571428569</v>
      </c>
      <c r="H6">
        <v>50</v>
      </c>
      <c r="I6">
        <v>16.666666666666664</v>
      </c>
    </row>
    <row r="7" spans="1:9" ht="16.8" thickBot="1" x14ac:dyDescent="0.35">
      <c r="A7" s="3" t="s">
        <v>6</v>
      </c>
      <c r="B7">
        <v>71.428571428571431</v>
      </c>
      <c r="C7">
        <v>80</v>
      </c>
      <c r="D7">
        <v>75</v>
      </c>
      <c r="E7">
        <v>37.5</v>
      </c>
      <c r="F7">
        <v>50</v>
      </c>
      <c r="G7">
        <v>57.142857142857139</v>
      </c>
      <c r="H7">
        <v>50</v>
      </c>
      <c r="I7">
        <v>16.666666666666664</v>
      </c>
    </row>
    <row r="8" spans="1:9" x14ac:dyDescent="0.3">
      <c r="A8" s="1" t="s">
        <v>7</v>
      </c>
      <c r="B8">
        <v>85.714285714285708</v>
      </c>
      <c r="C8">
        <v>90</v>
      </c>
      <c r="D8">
        <v>75</v>
      </c>
      <c r="E8">
        <v>37.5</v>
      </c>
      <c r="F8">
        <v>0</v>
      </c>
      <c r="G8">
        <v>14.285714285714285</v>
      </c>
      <c r="H8">
        <v>50</v>
      </c>
      <c r="I8">
        <v>16.666666666666664</v>
      </c>
    </row>
    <row r="9" spans="1:9" x14ac:dyDescent="0.3">
      <c r="A9" s="1" t="s">
        <v>8</v>
      </c>
      <c r="B9">
        <v>42.857142857142854</v>
      </c>
      <c r="C9">
        <v>90</v>
      </c>
      <c r="D9">
        <v>75</v>
      </c>
      <c r="E9">
        <v>50</v>
      </c>
      <c r="F9">
        <v>50</v>
      </c>
      <c r="G9">
        <v>28.571428571428569</v>
      </c>
      <c r="H9">
        <v>50</v>
      </c>
      <c r="I9">
        <v>16.666666666666664</v>
      </c>
    </row>
    <row r="10" spans="1:9" x14ac:dyDescent="0.3">
      <c r="A10" s="1" t="s">
        <v>9</v>
      </c>
      <c r="B10">
        <v>28.571428571428569</v>
      </c>
      <c r="C10">
        <v>90</v>
      </c>
      <c r="D10">
        <v>75</v>
      </c>
      <c r="E10">
        <v>50</v>
      </c>
      <c r="F10">
        <v>50</v>
      </c>
      <c r="G10">
        <v>0</v>
      </c>
      <c r="H10">
        <v>50</v>
      </c>
      <c r="I10">
        <v>16.666666666666664</v>
      </c>
    </row>
    <row r="11" spans="1:9" x14ac:dyDescent="0.3">
      <c r="A11" s="1" t="s">
        <v>10</v>
      </c>
      <c r="B11">
        <v>0</v>
      </c>
      <c r="C11">
        <v>90</v>
      </c>
      <c r="D11">
        <v>75</v>
      </c>
      <c r="E11">
        <v>50</v>
      </c>
      <c r="F11">
        <v>50</v>
      </c>
      <c r="G11">
        <v>14.285714285714285</v>
      </c>
      <c r="H11">
        <v>75</v>
      </c>
      <c r="I11">
        <v>16.666666666666664</v>
      </c>
    </row>
    <row r="12" spans="1:9" ht="16.8" thickBot="1" x14ac:dyDescent="0.35">
      <c r="A12" s="3" t="s">
        <v>11</v>
      </c>
      <c r="B12">
        <v>42.857142857142854</v>
      </c>
      <c r="C12">
        <v>90</v>
      </c>
      <c r="D12">
        <v>75</v>
      </c>
      <c r="E12">
        <v>62.5</v>
      </c>
      <c r="F12">
        <v>0</v>
      </c>
      <c r="G12">
        <v>0</v>
      </c>
      <c r="H12">
        <v>75</v>
      </c>
      <c r="I12">
        <v>16.666666666666664</v>
      </c>
    </row>
    <row r="13" spans="1:9" x14ac:dyDescent="0.3">
      <c r="A13" s="1" t="s">
        <v>12</v>
      </c>
      <c r="B13">
        <v>0</v>
      </c>
      <c r="C13">
        <v>80</v>
      </c>
      <c r="D13">
        <v>75</v>
      </c>
      <c r="E13">
        <v>50</v>
      </c>
      <c r="F13">
        <v>0</v>
      </c>
      <c r="G13">
        <v>14.285714285714285</v>
      </c>
      <c r="H13">
        <v>75</v>
      </c>
      <c r="I13">
        <v>16.666666666666664</v>
      </c>
    </row>
    <row r="14" spans="1:9" x14ac:dyDescent="0.3">
      <c r="A14" s="1" t="s">
        <v>13</v>
      </c>
      <c r="B14">
        <v>28.571428571428569</v>
      </c>
      <c r="C14">
        <v>100</v>
      </c>
      <c r="D14">
        <v>75</v>
      </c>
      <c r="E14">
        <v>50</v>
      </c>
      <c r="F14">
        <v>50</v>
      </c>
      <c r="G14">
        <v>28.571428571428569</v>
      </c>
      <c r="H14">
        <v>75</v>
      </c>
      <c r="I14">
        <v>16.666666666666664</v>
      </c>
    </row>
    <row r="15" spans="1:9" x14ac:dyDescent="0.3">
      <c r="A15" s="1" t="s">
        <v>14</v>
      </c>
      <c r="B15">
        <v>0</v>
      </c>
      <c r="C15">
        <v>90</v>
      </c>
      <c r="D15">
        <v>75</v>
      </c>
      <c r="E15">
        <v>75</v>
      </c>
      <c r="F15">
        <v>50</v>
      </c>
      <c r="G15">
        <v>14.285714285714285</v>
      </c>
      <c r="H15">
        <v>100</v>
      </c>
      <c r="I15">
        <v>50</v>
      </c>
    </row>
    <row r="16" spans="1:9" x14ac:dyDescent="0.3">
      <c r="A16" s="1" t="s">
        <v>15</v>
      </c>
      <c r="B16">
        <v>14.285714285714285</v>
      </c>
      <c r="C16">
        <v>80</v>
      </c>
      <c r="D16">
        <v>83.333333333333343</v>
      </c>
      <c r="E16">
        <v>75</v>
      </c>
      <c r="F16">
        <v>50</v>
      </c>
      <c r="G16">
        <v>28.571428571428569</v>
      </c>
      <c r="H16">
        <v>100</v>
      </c>
      <c r="I16">
        <v>50</v>
      </c>
    </row>
    <row r="17" spans="1:9" x14ac:dyDescent="0.3">
      <c r="A17" s="2" t="s">
        <v>16</v>
      </c>
      <c r="B17">
        <v>14.285714285714285</v>
      </c>
      <c r="C17">
        <v>90</v>
      </c>
      <c r="D17">
        <v>83.333333333333343</v>
      </c>
      <c r="E17">
        <v>100</v>
      </c>
      <c r="F17">
        <v>100</v>
      </c>
      <c r="G17">
        <v>42.857142857142854</v>
      </c>
      <c r="H17">
        <v>100</v>
      </c>
      <c r="I17">
        <v>66.666666666666657</v>
      </c>
    </row>
    <row r="18" spans="1:9" x14ac:dyDescent="0.3">
      <c r="A18" s="1" t="s">
        <v>17</v>
      </c>
      <c r="B18">
        <v>71.428571428571431</v>
      </c>
      <c r="C18">
        <v>100</v>
      </c>
      <c r="D18">
        <v>83.333333333333343</v>
      </c>
      <c r="E18">
        <v>62.5</v>
      </c>
      <c r="F18">
        <v>0</v>
      </c>
      <c r="G18">
        <v>57.142857142857139</v>
      </c>
      <c r="H18">
        <v>50</v>
      </c>
      <c r="I18">
        <v>33.333333333333329</v>
      </c>
    </row>
    <row r="19" spans="1:9" x14ac:dyDescent="0.3">
      <c r="A19" s="1" t="s">
        <v>18</v>
      </c>
      <c r="B19">
        <v>14.285714285714285</v>
      </c>
      <c r="C19">
        <v>90</v>
      </c>
      <c r="D19">
        <v>91.666666666666657</v>
      </c>
      <c r="E19">
        <v>87.5</v>
      </c>
      <c r="F19">
        <v>50</v>
      </c>
      <c r="G19">
        <v>71.428571428571431</v>
      </c>
      <c r="H19">
        <v>100</v>
      </c>
      <c r="I19">
        <v>16.666666666666664</v>
      </c>
    </row>
    <row r="20" spans="1:9" ht="16.8" thickBot="1" x14ac:dyDescent="0.35">
      <c r="A20" s="3" t="s">
        <v>19</v>
      </c>
      <c r="B20">
        <v>0</v>
      </c>
      <c r="C20">
        <v>80</v>
      </c>
      <c r="D20">
        <v>91.666666666666657</v>
      </c>
      <c r="E20">
        <v>87.5</v>
      </c>
      <c r="F20">
        <v>100</v>
      </c>
      <c r="G20">
        <v>85.714285714285708</v>
      </c>
      <c r="H20">
        <v>100</v>
      </c>
      <c r="I20">
        <v>66.666666666666657</v>
      </c>
    </row>
    <row r="21" spans="1:9" x14ac:dyDescent="0.3">
      <c r="A21" s="1" t="s">
        <v>20</v>
      </c>
      <c r="B21">
        <v>0</v>
      </c>
      <c r="C21">
        <v>70</v>
      </c>
      <c r="D21">
        <v>83.333333333333343</v>
      </c>
      <c r="E21">
        <v>75</v>
      </c>
      <c r="F21">
        <v>50</v>
      </c>
      <c r="G21">
        <v>0</v>
      </c>
      <c r="H21">
        <v>100</v>
      </c>
      <c r="I21">
        <v>83.333333333333343</v>
      </c>
    </row>
    <row r="22" spans="1:9" x14ac:dyDescent="0.3">
      <c r="A22" s="1" t="s">
        <v>21</v>
      </c>
      <c r="B22">
        <v>71.428571428571431</v>
      </c>
      <c r="C22">
        <v>60</v>
      </c>
      <c r="D22">
        <v>75</v>
      </c>
      <c r="E22">
        <v>37.5</v>
      </c>
      <c r="F22">
        <v>0</v>
      </c>
      <c r="G22">
        <v>14.285714285714285</v>
      </c>
      <c r="H22">
        <v>50</v>
      </c>
      <c r="I22">
        <v>33.333333333333329</v>
      </c>
    </row>
    <row r="23" spans="1:9" ht="16.8" thickBot="1" x14ac:dyDescent="0.35">
      <c r="A23" s="3" t="s">
        <v>22</v>
      </c>
      <c r="B23">
        <v>28.571428571428569</v>
      </c>
      <c r="C23">
        <v>40</v>
      </c>
      <c r="D23">
        <v>66.666666666666657</v>
      </c>
      <c r="E23">
        <v>62.5</v>
      </c>
      <c r="F23">
        <v>50</v>
      </c>
      <c r="G23">
        <v>0</v>
      </c>
      <c r="H23">
        <v>100</v>
      </c>
      <c r="I23">
        <v>66.666666666666657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路徑一</vt:lpstr>
      <vt:lpstr>路徑二</vt:lpstr>
      <vt:lpstr>路徑三</vt:lpstr>
      <vt:lpstr>路徑四</vt:lpstr>
      <vt:lpstr>路徑五</vt:lpstr>
      <vt:lpstr>路徑六</vt:lpstr>
      <vt:lpstr>路徑七</vt:lpstr>
      <vt:lpstr>路徑九</vt:lpstr>
      <vt:lpstr>放假機率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賈雅涵</dc:creator>
  <cp:lastModifiedBy>賈雅涵</cp:lastModifiedBy>
  <dcterms:created xsi:type="dcterms:W3CDTF">2025-08-29T07:50:23Z</dcterms:created>
  <dcterms:modified xsi:type="dcterms:W3CDTF">2025-11-22T16:10:51Z</dcterms:modified>
</cp:coreProperties>
</file>